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INVESTOR-RELATIONS\REL-CON-INV\Subastas\2026\9. Septiembre\Resultados a Publicar\Segunda Ronda\Consolidado Subastas\"/>
    </mc:Choice>
  </mc:AlternateContent>
  <xr:revisionPtr revIDLastSave="0" documentId="13_ncr:1_{9BC07A1B-302F-46B8-B62E-219FE2338118}" xr6:coauthVersionLast="47" xr6:coauthVersionMax="47" xr10:uidLastSave="{00000000-0000-0000-0000-000000000000}"/>
  <bookViews>
    <workbookView xWindow="4665" yWindow="1830" windowWidth="21600" windowHeight="11295" xr2:uid="{3233C56B-A867-4B26-93C3-1452D6C65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9" i="1" l="1"/>
  <c r="F29" i="1"/>
  <c r="E29" i="1"/>
  <c r="G28" i="1"/>
  <c r="G27" i="1"/>
  <c r="G26" i="1"/>
  <c r="G25" i="1"/>
  <c r="G24" i="1"/>
  <c r="G23" i="1"/>
  <c r="I22" i="1"/>
  <c r="H22" i="1"/>
  <c r="G22" i="1"/>
  <c r="G21" i="1"/>
  <c r="C13" i="1" l="1"/>
  <c r="H30" i="1"/>
</calcChain>
</file>

<file path=xl/sharedStrings.xml><?xml version="1.0" encoding="utf-8"?>
<sst xmlns="http://schemas.openxmlformats.org/spreadsheetml/2006/main" count="21" uniqueCount="20">
  <si>
    <t>DIRECCIÓN GENERAL DE CRÉDITO PÚBLICO</t>
  </si>
  <si>
    <t>MINISTERIO DE HACIENDA Y ECONOMÍA</t>
  </si>
  <si>
    <t>REPÚBLICA DOMINICANA</t>
  </si>
  <si>
    <t>Consolidado de Subastas 2026</t>
  </si>
  <si>
    <t>(En pesos dominicanos)</t>
  </si>
  <si>
    <t>Monto Colocado por Subasta</t>
  </si>
  <si>
    <t>Subasta</t>
  </si>
  <si>
    <t>Fecha Subasta</t>
  </si>
  <si>
    <t>Fecha Vencimiento</t>
  </si>
  <si>
    <t xml:space="preserve"> Subastado</t>
  </si>
  <si>
    <t xml:space="preserve"> Demandado</t>
  </si>
  <si>
    <t>Bid to Cover Ratio</t>
  </si>
  <si>
    <t>Adjudicado</t>
  </si>
  <si>
    <t>Tasa de Corte</t>
  </si>
  <si>
    <t>25/03/2026</t>
  </si>
  <si>
    <t>26/05/2026</t>
  </si>
  <si>
    <t>29/05/2041</t>
  </si>
  <si>
    <t>MH2-2041
Monto de Emisión RD$100,000.0 MM
Cupón 12.0000%</t>
  </si>
  <si>
    <t>27/05/2026</t>
  </si>
  <si>
    <t>MH1-2041
Monto de Emisión RD$100,000.0 MM
Cupón 12.0000%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</si>
</sst>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RD$&quot;#,##0_);\(&quot;RD$&quot;#,##0\)"/>
    <numFmt numFmtId="165" formatCode="dd/mm/yyyy;@"/>
    <numFmt numFmtId="166" formatCode="0.000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0"/>
      <name val="Tahoma"/>
      <family val="2"/>
    </font>
    <font>
      <sz val="10"/>
      <color rgb="FF000000"/>
      <name val="Segoe UI"/>
      <family val="2"/>
      <charset val="1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198"/>
        <bgColor indexed="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3" fillId="0" borderId="0" xfId="3"/>
    <xf numFmtId="0" fontId="5" fillId="0" borderId="0" xfId="3" applyFont="1" applyAlignment="1">
      <alignment horizontal="center"/>
    </xf>
    <xf numFmtId="3" fontId="0" fillId="0" borderId="0" xfId="0" applyNumberFormat="1" applyAlignment="1">
      <alignment vertical="center"/>
    </xf>
    <xf numFmtId="0" fontId="6" fillId="0" borderId="0" xfId="3" applyFont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43" fontId="1" fillId="0" borderId="0" xfId="1" applyFont="1" applyAlignment="1">
      <alignment vertical="center"/>
    </xf>
    <xf numFmtId="164" fontId="0" fillId="0" borderId="0" xfId="0" applyNumberFormat="1" applyAlignment="1">
      <alignment vertical="center"/>
    </xf>
    <xf numFmtId="43" fontId="9" fillId="0" borderId="0" xfId="1" applyFont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4" fontId="1" fillId="0" borderId="10" xfId="1" applyNumberFormat="1" applyFont="1" applyBorder="1" applyAlignment="1">
      <alignment vertical="center"/>
    </xf>
    <xf numFmtId="164" fontId="1" fillId="0" borderId="10" xfId="1" applyNumberFormat="1" applyFont="1" applyFill="1" applyBorder="1" applyAlignment="1">
      <alignment vertical="center"/>
    </xf>
    <xf numFmtId="2" fontId="1" fillId="0" borderId="10" xfId="1" applyNumberFormat="1" applyFont="1" applyFill="1" applyBorder="1" applyAlignment="1">
      <alignment horizontal="center" vertical="center"/>
    </xf>
    <xf numFmtId="166" fontId="1" fillId="0" borderId="3" xfId="2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0" borderId="0" xfId="1" applyNumberFormat="1" applyFont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2" fontId="1" fillId="0" borderId="0" xfId="1" applyNumberFormat="1" applyFont="1" applyFill="1" applyBorder="1" applyAlignment="1">
      <alignment horizontal="center" vertical="center"/>
    </xf>
    <xf numFmtId="166" fontId="1" fillId="0" borderId="6" xfId="2" applyNumberFormat="1" applyFont="1" applyFill="1" applyBorder="1" applyAlignment="1">
      <alignment horizontal="center" vertical="center"/>
    </xf>
    <xf numFmtId="164" fontId="1" fillId="3" borderId="0" xfId="1" applyNumberFormat="1" applyFont="1" applyFill="1" applyBorder="1" applyAlignment="1">
      <alignment vertical="center"/>
    </xf>
    <xf numFmtId="166" fontId="1" fillId="3" borderId="6" xfId="2" applyNumberFormat="1" applyFont="1" applyFill="1" applyBorder="1" applyAlignment="1">
      <alignment horizontal="center" vertical="center"/>
    </xf>
    <xf numFmtId="166" fontId="1" fillId="0" borderId="6" xfId="2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vertical="center"/>
    </xf>
    <xf numFmtId="2" fontId="2" fillId="0" borderId="0" xfId="1" applyNumberFormat="1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vertical="center"/>
    </xf>
    <xf numFmtId="0" fontId="8" fillId="0" borderId="5" xfId="1" applyNumberFormat="1" applyFont="1" applyFill="1" applyBorder="1" applyAlignment="1">
      <alignment horizontal="center" vertical="center" wrapText="1"/>
    </xf>
    <xf numFmtId="0" fontId="8" fillId="0" borderId="0" xfId="1" applyNumberFormat="1" applyFont="1" applyFill="1" applyBorder="1" applyAlignment="1">
      <alignment horizontal="center" vertical="center" wrapText="1"/>
    </xf>
    <xf numFmtId="0" fontId="8" fillId="0" borderId="6" xfId="1" applyNumberFormat="1" applyFont="1" applyFill="1" applyBorder="1" applyAlignment="1">
      <alignment horizontal="center" vertical="center" wrapText="1"/>
    </xf>
    <xf numFmtId="0" fontId="8" fillId="0" borderId="8" xfId="1" applyNumberFormat="1" applyFont="1" applyFill="1" applyBorder="1" applyAlignment="1">
      <alignment horizontal="center" vertical="center" wrapText="1"/>
    </xf>
    <xf numFmtId="0" fontId="8" fillId="0" borderId="12" xfId="1" applyNumberFormat="1" applyFont="1" applyFill="1" applyBorder="1" applyAlignment="1">
      <alignment horizontal="center" vertical="center" wrapText="1"/>
    </xf>
    <xf numFmtId="0" fontId="8" fillId="0" borderId="9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vertical="center"/>
    </xf>
    <xf numFmtId="166" fontId="1" fillId="0" borderId="0" xfId="2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5" fontId="0" fillId="0" borderId="5" xfId="0" applyNumberFormat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4" fontId="1" fillId="0" borderId="0" xfId="1" applyNumberFormat="1" applyFont="1" applyBorder="1" applyAlignment="1">
      <alignment vertical="top"/>
    </xf>
    <xf numFmtId="2" fontId="0" fillId="0" borderId="0" xfId="0" applyNumberFormat="1" applyAlignment="1">
      <alignment horizontal="center" vertical="top"/>
    </xf>
    <xf numFmtId="164" fontId="1" fillId="0" borderId="0" xfId="1" applyNumberFormat="1" applyFont="1" applyFill="1" applyBorder="1" applyAlignment="1">
      <alignment vertical="top"/>
    </xf>
    <xf numFmtId="166" fontId="1" fillId="0" borderId="6" xfId="2" applyNumberFormat="1" applyFont="1" applyBorder="1" applyAlignment="1">
      <alignment horizontal="center" vertical="top"/>
    </xf>
    <xf numFmtId="164" fontId="1" fillId="0" borderId="12" xfId="1" applyNumberFormat="1" applyFont="1" applyBorder="1" applyAlignment="1">
      <alignment vertical="center"/>
    </xf>
    <xf numFmtId="166" fontId="1" fillId="0" borderId="3" xfId="2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0" fillId="0" borderId="0" xfId="3" applyFont="1" applyAlignment="1">
      <alignment horizontal="center"/>
    </xf>
    <xf numFmtId="0" fontId="8" fillId="2" borderId="3" xfId="1" applyNumberFormat="1" applyFont="1" applyFill="1" applyBorder="1" applyAlignment="1">
      <alignment horizontal="center" vertical="center" wrapText="1"/>
    </xf>
    <xf numFmtId="0" fontId="8" fillId="2" borderId="6" xfId="1" applyNumberFormat="1" applyFont="1" applyFill="1" applyBorder="1" applyAlignment="1">
      <alignment horizontal="center" vertical="center" wrapText="1"/>
    </xf>
    <xf numFmtId="0" fontId="8" fillId="2" borderId="9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4" xfId="1" applyNumberFormat="1" applyFont="1" applyFill="1" applyBorder="1" applyAlignment="1">
      <alignment horizontal="center" vertical="center" wrapText="1"/>
    </xf>
    <xf numFmtId="0" fontId="8" fillId="2" borderId="7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2" xfId="1" applyNumberFormat="1" applyFont="1" applyFill="1" applyBorder="1" applyAlignment="1">
      <alignment horizontal="center" vertical="center" wrapText="1"/>
    </xf>
    <xf numFmtId="0" fontId="8" fillId="2" borderId="5" xfId="1" applyNumberFormat="1" applyFont="1" applyFill="1" applyBorder="1" applyAlignment="1">
      <alignment horizontal="center" vertical="center" wrapText="1"/>
    </xf>
    <xf numFmtId="0" fontId="8" fillId="2" borderId="8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164" fontId="1" fillId="0" borderId="12" xfId="1" applyNumberFormat="1" applyFont="1" applyBorder="1" applyAlignment="1">
      <alignment vertical="top"/>
    </xf>
    <xf numFmtId="2" fontId="0" fillId="0" borderId="12" xfId="0" applyNumberFormat="1" applyBorder="1" applyAlignment="1">
      <alignment horizontal="center" vertical="top"/>
    </xf>
    <xf numFmtId="166" fontId="1" fillId="0" borderId="9" xfId="2" applyNumberFormat="1" applyFont="1" applyBorder="1" applyAlignment="1">
      <alignment horizontal="center" vertical="top"/>
    </xf>
    <xf numFmtId="165" fontId="0" fillId="0" borderId="8" xfId="0" applyNumberFormat="1" applyBorder="1" applyAlignment="1">
      <alignment horizontal="center" vertical="top"/>
    </xf>
    <xf numFmtId="165" fontId="0" fillId="0" borderId="12" xfId="0" applyNumberFormat="1" applyBorder="1" applyAlignment="1">
      <alignment horizontal="center" vertical="top"/>
    </xf>
  </cellXfs>
  <cellStyles count="4">
    <cellStyle name="Comma" xfId="1" builtinId="3"/>
    <cellStyle name="Normal" xfId="0" builtinId="0"/>
    <cellStyle name="Normal 4" xfId="3" xr:uid="{5E79E5DA-6997-4F55-8CC0-62C2588CDD8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0</xdr:row>
      <xdr:rowOff>47625</xdr:rowOff>
    </xdr:from>
    <xdr:to>
      <xdr:col>5</xdr:col>
      <xdr:colOff>478155</xdr:colOff>
      <xdr:row>3</xdr:row>
      <xdr:rowOff>173355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E08C05D-E43D-45D2-95BA-F6FA0023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012" b="-2220"/>
        <a:stretch>
          <a:fillRect/>
        </a:stretch>
      </xdr:blipFill>
      <xdr:spPr bwMode="auto">
        <a:xfrm>
          <a:off x="5429250" y="47625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5405-FF80-455D-B8DE-5F1BF3C08D11}">
  <dimension ref="B1:M50"/>
  <sheetViews>
    <sheetView showGridLines="0" tabSelected="1" workbookViewId="0">
      <selection activeCell="I29" sqref="I29"/>
    </sheetView>
  </sheetViews>
  <sheetFormatPr defaultColWidth="11.42578125" defaultRowHeight="15" x14ac:dyDescent="0.25"/>
  <cols>
    <col min="1" max="1" width="3.42578125" style="1" customWidth="1"/>
    <col min="2" max="2" width="33.42578125" style="1" customWidth="1"/>
    <col min="3" max="3" width="20.28515625" style="1" bestFit="1" customWidth="1"/>
    <col min="4" max="4" width="19" style="1" bestFit="1" customWidth="1"/>
    <col min="5" max="6" width="20.7109375" style="1" bestFit="1" customWidth="1"/>
    <col min="7" max="7" width="14.140625" style="1" customWidth="1"/>
    <col min="8" max="8" width="20.7109375" style="1" bestFit="1" customWidth="1"/>
    <col min="9" max="9" width="15.140625" style="1" customWidth="1"/>
    <col min="10" max="10" width="2.7109375" style="1" customWidth="1"/>
    <col min="11" max="11" width="19.140625" style="1" bestFit="1" customWidth="1"/>
    <col min="12" max="12" width="11.42578125" style="1"/>
    <col min="13" max="13" width="25.85546875" style="1" customWidth="1"/>
    <col min="14" max="256" width="11.42578125" style="1"/>
    <col min="257" max="257" width="3.42578125" style="1" customWidth="1"/>
    <col min="258" max="258" width="33.42578125" style="1" customWidth="1"/>
    <col min="259" max="259" width="20.28515625" style="1" bestFit="1" customWidth="1"/>
    <col min="260" max="260" width="19" style="1" bestFit="1" customWidth="1"/>
    <col min="261" max="262" width="20.7109375" style="1" bestFit="1" customWidth="1"/>
    <col min="263" max="263" width="14.140625" style="1" customWidth="1"/>
    <col min="264" max="264" width="20.7109375" style="1" bestFit="1" customWidth="1"/>
    <col min="265" max="265" width="15.140625" style="1" customWidth="1"/>
    <col min="266" max="266" width="2.7109375" style="1" customWidth="1"/>
    <col min="267" max="267" width="19.140625" style="1" bestFit="1" customWidth="1"/>
    <col min="268" max="268" width="11.42578125" style="1"/>
    <col min="269" max="269" width="25.85546875" style="1" customWidth="1"/>
    <col min="270" max="512" width="11.42578125" style="1"/>
    <col min="513" max="513" width="3.42578125" style="1" customWidth="1"/>
    <col min="514" max="514" width="33.42578125" style="1" customWidth="1"/>
    <col min="515" max="515" width="20.28515625" style="1" bestFit="1" customWidth="1"/>
    <col min="516" max="516" width="19" style="1" bestFit="1" customWidth="1"/>
    <col min="517" max="518" width="20.7109375" style="1" bestFit="1" customWidth="1"/>
    <col min="519" max="519" width="14.140625" style="1" customWidth="1"/>
    <col min="520" max="520" width="20.7109375" style="1" bestFit="1" customWidth="1"/>
    <col min="521" max="521" width="15.140625" style="1" customWidth="1"/>
    <col min="522" max="522" width="2.7109375" style="1" customWidth="1"/>
    <col min="523" max="523" width="19.140625" style="1" bestFit="1" customWidth="1"/>
    <col min="524" max="524" width="11.42578125" style="1"/>
    <col min="525" max="525" width="25.85546875" style="1" customWidth="1"/>
    <col min="526" max="768" width="11.42578125" style="1"/>
    <col min="769" max="769" width="3.42578125" style="1" customWidth="1"/>
    <col min="770" max="770" width="33.42578125" style="1" customWidth="1"/>
    <col min="771" max="771" width="20.28515625" style="1" bestFit="1" customWidth="1"/>
    <col min="772" max="772" width="19" style="1" bestFit="1" customWidth="1"/>
    <col min="773" max="774" width="20.7109375" style="1" bestFit="1" customWidth="1"/>
    <col min="775" max="775" width="14.140625" style="1" customWidth="1"/>
    <col min="776" max="776" width="20.7109375" style="1" bestFit="1" customWidth="1"/>
    <col min="777" max="777" width="15.140625" style="1" customWidth="1"/>
    <col min="778" max="778" width="2.7109375" style="1" customWidth="1"/>
    <col min="779" max="779" width="19.140625" style="1" bestFit="1" customWidth="1"/>
    <col min="780" max="780" width="11.42578125" style="1"/>
    <col min="781" max="781" width="25.85546875" style="1" customWidth="1"/>
    <col min="782" max="1024" width="11.42578125" style="1"/>
    <col min="1025" max="1025" width="3.42578125" style="1" customWidth="1"/>
    <col min="1026" max="1026" width="33.42578125" style="1" customWidth="1"/>
    <col min="1027" max="1027" width="20.28515625" style="1" bestFit="1" customWidth="1"/>
    <col min="1028" max="1028" width="19" style="1" bestFit="1" customWidth="1"/>
    <col min="1029" max="1030" width="20.7109375" style="1" bestFit="1" customWidth="1"/>
    <col min="1031" max="1031" width="14.140625" style="1" customWidth="1"/>
    <col min="1032" max="1032" width="20.7109375" style="1" bestFit="1" customWidth="1"/>
    <col min="1033" max="1033" width="15.140625" style="1" customWidth="1"/>
    <col min="1034" max="1034" width="2.7109375" style="1" customWidth="1"/>
    <col min="1035" max="1035" width="19.140625" style="1" bestFit="1" customWidth="1"/>
    <col min="1036" max="1036" width="11.42578125" style="1"/>
    <col min="1037" max="1037" width="25.85546875" style="1" customWidth="1"/>
    <col min="1038" max="1280" width="11.42578125" style="1"/>
    <col min="1281" max="1281" width="3.42578125" style="1" customWidth="1"/>
    <col min="1282" max="1282" width="33.42578125" style="1" customWidth="1"/>
    <col min="1283" max="1283" width="20.28515625" style="1" bestFit="1" customWidth="1"/>
    <col min="1284" max="1284" width="19" style="1" bestFit="1" customWidth="1"/>
    <col min="1285" max="1286" width="20.7109375" style="1" bestFit="1" customWidth="1"/>
    <col min="1287" max="1287" width="14.140625" style="1" customWidth="1"/>
    <col min="1288" max="1288" width="20.7109375" style="1" bestFit="1" customWidth="1"/>
    <col min="1289" max="1289" width="15.140625" style="1" customWidth="1"/>
    <col min="1290" max="1290" width="2.7109375" style="1" customWidth="1"/>
    <col min="1291" max="1291" width="19.140625" style="1" bestFit="1" customWidth="1"/>
    <col min="1292" max="1292" width="11.42578125" style="1"/>
    <col min="1293" max="1293" width="25.85546875" style="1" customWidth="1"/>
    <col min="1294" max="1536" width="11.42578125" style="1"/>
    <col min="1537" max="1537" width="3.42578125" style="1" customWidth="1"/>
    <col min="1538" max="1538" width="33.42578125" style="1" customWidth="1"/>
    <col min="1539" max="1539" width="20.28515625" style="1" bestFit="1" customWidth="1"/>
    <col min="1540" max="1540" width="19" style="1" bestFit="1" customWidth="1"/>
    <col min="1541" max="1542" width="20.7109375" style="1" bestFit="1" customWidth="1"/>
    <col min="1543" max="1543" width="14.140625" style="1" customWidth="1"/>
    <col min="1544" max="1544" width="20.7109375" style="1" bestFit="1" customWidth="1"/>
    <col min="1545" max="1545" width="15.140625" style="1" customWidth="1"/>
    <col min="1546" max="1546" width="2.7109375" style="1" customWidth="1"/>
    <col min="1547" max="1547" width="19.140625" style="1" bestFit="1" customWidth="1"/>
    <col min="1548" max="1548" width="11.42578125" style="1"/>
    <col min="1549" max="1549" width="25.85546875" style="1" customWidth="1"/>
    <col min="1550" max="1792" width="11.42578125" style="1"/>
    <col min="1793" max="1793" width="3.42578125" style="1" customWidth="1"/>
    <col min="1794" max="1794" width="33.42578125" style="1" customWidth="1"/>
    <col min="1795" max="1795" width="20.28515625" style="1" bestFit="1" customWidth="1"/>
    <col min="1796" max="1796" width="19" style="1" bestFit="1" customWidth="1"/>
    <col min="1797" max="1798" width="20.7109375" style="1" bestFit="1" customWidth="1"/>
    <col min="1799" max="1799" width="14.140625" style="1" customWidth="1"/>
    <col min="1800" max="1800" width="20.7109375" style="1" bestFit="1" customWidth="1"/>
    <col min="1801" max="1801" width="15.140625" style="1" customWidth="1"/>
    <col min="1802" max="1802" width="2.7109375" style="1" customWidth="1"/>
    <col min="1803" max="1803" width="19.140625" style="1" bestFit="1" customWidth="1"/>
    <col min="1804" max="1804" width="11.42578125" style="1"/>
    <col min="1805" max="1805" width="25.85546875" style="1" customWidth="1"/>
    <col min="1806" max="2048" width="11.42578125" style="1"/>
    <col min="2049" max="2049" width="3.42578125" style="1" customWidth="1"/>
    <col min="2050" max="2050" width="33.42578125" style="1" customWidth="1"/>
    <col min="2051" max="2051" width="20.28515625" style="1" bestFit="1" customWidth="1"/>
    <col min="2052" max="2052" width="19" style="1" bestFit="1" customWidth="1"/>
    <col min="2053" max="2054" width="20.7109375" style="1" bestFit="1" customWidth="1"/>
    <col min="2055" max="2055" width="14.140625" style="1" customWidth="1"/>
    <col min="2056" max="2056" width="20.7109375" style="1" bestFit="1" customWidth="1"/>
    <col min="2057" max="2057" width="15.140625" style="1" customWidth="1"/>
    <col min="2058" max="2058" width="2.7109375" style="1" customWidth="1"/>
    <col min="2059" max="2059" width="19.140625" style="1" bestFit="1" customWidth="1"/>
    <col min="2060" max="2060" width="11.42578125" style="1"/>
    <col min="2061" max="2061" width="25.85546875" style="1" customWidth="1"/>
    <col min="2062" max="2304" width="11.42578125" style="1"/>
    <col min="2305" max="2305" width="3.42578125" style="1" customWidth="1"/>
    <col min="2306" max="2306" width="33.42578125" style="1" customWidth="1"/>
    <col min="2307" max="2307" width="20.28515625" style="1" bestFit="1" customWidth="1"/>
    <col min="2308" max="2308" width="19" style="1" bestFit="1" customWidth="1"/>
    <col min="2309" max="2310" width="20.7109375" style="1" bestFit="1" customWidth="1"/>
    <col min="2311" max="2311" width="14.140625" style="1" customWidth="1"/>
    <col min="2312" max="2312" width="20.7109375" style="1" bestFit="1" customWidth="1"/>
    <col min="2313" max="2313" width="15.140625" style="1" customWidth="1"/>
    <col min="2314" max="2314" width="2.7109375" style="1" customWidth="1"/>
    <col min="2315" max="2315" width="19.140625" style="1" bestFit="1" customWidth="1"/>
    <col min="2316" max="2316" width="11.42578125" style="1"/>
    <col min="2317" max="2317" width="25.85546875" style="1" customWidth="1"/>
    <col min="2318" max="2560" width="11.42578125" style="1"/>
    <col min="2561" max="2561" width="3.42578125" style="1" customWidth="1"/>
    <col min="2562" max="2562" width="33.42578125" style="1" customWidth="1"/>
    <col min="2563" max="2563" width="20.28515625" style="1" bestFit="1" customWidth="1"/>
    <col min="2564" max="2564" width="19" style="1" bestFit="1" customWidth="1"/>
    <col min="2565" max="2566" width="20.7109375" style="1" bestFit="1" customWidth="1"/>
    <col min="2567" max="2567" width="14.140625" style="1" customWidth="1"/>
    <col min="2568" max="2568" width="20.7109375" style="1" bestFit="1" customWidth="1"/>
    <col min="2569" max="2569" width="15.140625" style="1" customWidth="1"/>
    <col min="2570" max="2570" width="2.7109375" style="1" customWidth="1"/>
    <col min="2571" max="2571" width="19.140625" style="1" bestFit="1" customWidth="1"/>
    <col min="2572" max="2572" width="11.42578125" style="1"/>
    <col min="2573" max="2573" width="25.85546875" style="1" customWidth="1"/>
    <col min="2574" max="2816" width="11.42578125" style="1"/>
    <col min="2817" max="2817" width="3.42578125" style="1" customWidth="1"/>
    <col min="2818" max="2818" width="33.42578125" style="1" customWidth="1"/>
    <col min="2819" max="2819" width="20.28515625" style="1" bestFit="1" customWidth="1"/>
    <col min="2820" max="2820" width="19" style="1" bestFit="1" customWidth="1"/>
    <col min="2821" max="2822" width="20.7109375" style="1" bestFit="1" customWidth="1"/>
    <col min="2823" max="2823" width="14.140625" style="1" customWidth="1"/>
    <col min="2824" max="2824" width="20.7109375" style="1" bestFit="1" customWidth="1"/>
    <col min="2825" max="2825" width="15.140625" style="1" customWidth="1"/>
    <col min="2826" max="2826" width="2.7109375" style="1" customWidth="1"/>
    <col min="2827" max="2827" width="19.140625" style="1" bestFit="1" customWidth="1"/>
    <col min="2828" max="2828" width="11.42578125" style="1"/>
    <col min="2829" max="2829" width="25.85546875" style="1" customWidth="1"/>
    <col min="2830" max="3072" width="11.42578125" style="1"/>
    <col min="3073" max="3073" width="3.42578125" style="1" customWidth="1"/>
    <col min="3074" max="3074" width="33.42578125" style="1" customWidth="1"/>
    <col min="3075" max="3075" width="20.28515625" style="1" bestFit="1" customWidth="1"/>
    <col min="3076" max="3076" width="19" style="1" bestFit="1" customWidth="1"/>
    <col min="3077" max="3078" width="20.7109375" style="1" bestFit="1" customWidth="1"/>
    <col min="3079" max="3079" width="14.140625" style="1" customWidth="1"/>
    <col min="3080" max="3080" width="20.7109375" style="1" bestFit="1" customWidth="1"/>
    <col min="3081" max="3081" width="15.140625" style="1" customWidth="1"/>
    <col min="3082" max="3082" width="2.7109375" style="1" customWidth="1"/>
    <col min="3083" max="3083" width="19.140625" style="1" bestFit="1" customWidth="1"/>
    <col min="3084" max="3084" width="11.42578125" style="1"/>
    <col min="3085" max="3085" width="25.85546875" style="1" customWidth="1"/>
    <col min="3086" max="3328" width="11.42578125" style="1"/>
    <col min="3329" max="3329" width="3.42578125" style="1" customWidth="1"/>
    <col min="3330" max="3330" width="33.42578125" style="1" customWidth="1"/>
    <col min="3331" max="3331" width="20.28515625" style="1" bestFit="1" customWidth="1"/>
    <col min="3332" max="3332" width="19" style="1" bestFit="1" customWidth="1"/>
    <col min="3333" max="3334" width="20.7109375" style="1" bestFit="1" customWidth="1"/>
    <col min="3335" max="3335" width="14.140625" style="1" customWidth="1"/>
    <col min="3336" max="3336" width="20.7109375" style="1" bestFit="1" customWidth="1"/>
    <col min="3337" max="3337" width="15.140625" style="1" customWidth="1"/>
    <col min="3338" max="3338" width="2.7109375" style="1" customWidth="1"/>
    <col min="3339" max="3339" width="19.140625" style="1" bestFit="1" customWidth="1"/>
    <col min="3340" max="3340" width="11.42578125" style="1"/>
    <col min="3341" max="3341" width="25.85546875" style="1" customWidth="1"/>
    <col min="3342" max="3584" width="11.42578125" style="1"/>
    <col min="3585" max="3585" width="3.42578125" style="1" customWidth="1"/>
    <col min="3586" max="3586" width="33.42578125" style="1" customWidth="1"/>
    <col min="3587" max="3587" width="20.28515625" style="1" bestFit="1" customWidth="1"/>
    <col min="3588" max="3588" width="19" style="1" bestFit="1" customWidth="1"/>
    <col min="3589" max="3590" width="20.7109375" style="1" bestFit="1" customWidth="1"/>
    <col min="3591" max="3591" width="14.140625" style="1" customWidth="1"/>
    <col min="3592" max="3592" width="20.7109375" style="1" bestFit="1" customWidth="1"/>
    <col min="3593" max="3593" width="15.140625" style="1" customWidth="1"/>
    <col min="3594" max="3594" width="2.7109375" style="1" customWidth="1"/>
    <col min="3595" max="3595" width="19.140625" style="1" bestFit="1" customWidth="1"/>
    <col min="3596" max="3596" width="11.42578125" style="1"/>
    <col min="3597" max="3597" width="25.85546875" style="1" customWidth="1"/>
    <col min="3598" max="3840" width="11.42578125" style="1"/>
    <col min="3841" max="3841" width="3.42578125" style="1" customWidth="1"/>
    <col min="3842" max="3842" width="33.42578125" style="1" customWidth="1"/>
    <col min="3843" max="3843" width="20.28515625" style="1" bestFit="1" customWidth="1"/>
    <col min="3844" max="3844" width="19" style="1" bestFit="1" customWidth="1"/>
    <col min="3845" max="3846" width="20.7109375" style="1" bestFit="1" customWidth="1"/>
    <col min="3847" max="3847" width="14.140625" style="1" customWidth="1"/>
    <col min="3848" max="3848" width="20.7109375" style="1" bestFit="1" customWidth="1"/>
    <col min="3849" max="3849" width="15.140625" style="1" customWidth="1"/>
    <col min="3850" max="3850" width="2.7109375" style="1" customWidth="1"/>
    <col min="3851" max="3851" width="19.140625" style="1" bestFit="1" customWidth="1"/>
    <col min="3852" max="3852" width="11.42578125" style="1"/>
    <col min="3853" max="3853" width="25.85546875" style="1" customWidth="1"/>
    <col min="3854" max="4096" width="11.42578125" style="1"/>
    <col min="4097" max="4097" width="3.42578125" style="1" customWidth="1"/>
    <col min="4098" max="4098" width="33.42578125" style="1" customWidth="1"/>
    <col min="4099" max="4099" width="20.28515625" style="1" bestFit="1" customWidth="1"/>
    <col min="4100" max="4100" width="19" style="1" bestFit="1" customWidth="1"/>
    <col min="4101" max="4102" width="20.7109375" style="1" bestFit="1" customWidth="1"/>
    <col min="4103" max="4103" width="14.140625" style="1" customWidth="1"/>
    <col min="4104" max="4104" width="20.7109375" style="1" bestFit="1" customWidth="1"/>
    <col min="4105" max="4105" width="15.140625" style="1" customWidth="1"/>
    <col min="4106" max="4106" width="2.7109375" style="1" customWidth="1"/>
    <col min="4107" max="4107" width="19.140625" style="1" bestFit="1" customWidth="1"/>
    <col min="4108" max="4108" width="11.42578125" style="1"/>
    <col min="4109" max="4109" width="25.85546875" style="1" customWidth="1"/>
    <col min="4110" max="4352" width="11.42578125" style="1"/>
    <col min="4353" max="4353" width="3.42578125" style="1" customWidth="1"/>
    <col min="4354" max="4354" width="33.42578125" style="1" customWidth="1"/>
    <col min="4355" max="4355" width="20.28515625" style="1" bestFit="1" customWidth="1"/>
    <col min="4356" max="4356" width="19" style="1" bestFit="1" customWidth="1"/>
    <col min="4357" max="4358" width="20.7109375" style="1" bestFit="1" customWidth="1"/>
    <col min="4359" max="4359" width="14.140625" style="1" customWidth="1"/>
    <col min="4360" max="4360" width="20.7109375" style="1" bestFit="1" customWidth="1"/>
    <col min="4361" max="4361" width="15.140625" style="1" customWidth="1"/>
    <col min="4362" max="4362" width="2.7109375" style="1" customWidth="1"/>
    <col min="4363" max="4363" width="19.140625" style="1" bestFit="1" customWidth="1"/>
    <col min="4364" max="4364" width="11.42578125" style="1"/>
    <col min="4365" max="4365" width="25.85546875" style="1" customWidth="1"/>
    <col min="4366" max="4608" width="11.42578125" style="1"/>
    <col min="4609" max="4609" width="3.42578125" style="1" customWidth="1"/>
    <col min="4610" max="4610" width="33.42578125" style="1" customWidth="1"/>
    <col min="4611" max="4611" width="20.28515625" style="1" bestFit="1" customWidth="1"/>
    <col min="4612" max="4612" width="19" style="1" bestFit="1" customWidth="1"/>
    <col min="4613" max="4614" width="20.7109375" style="1" bestFit="1" customWidth="1"/>
    <col min="4615" max="4615" width="14.140625" style="1" customWidth="1"/>
    <col min="4616" max="4616" width="20.7109375" style="1" bestFit="1" customWidth="1"/>
    <col min="4617" max="4617" width="15.140625" style="1" customWidth="1"/>
    <col min="4618" max="4618" width="2.7109375" style="1" customWidth="1"/>
    <col min="4619" max="4619" width="19.140625" style="1" bestFit="1" customWidth="1"/>
    <col min="4620" max="4620" width="11.42578125" style="1"/>
    <col min="4621" max="4621" width="25.85546875" style="1" customWidth="1"/>
    <col min="4622" max="4864" width="11.42578125" style="1"/>
    <col min="4865" max="4865" width="3.42578125" style="1" customWidth="1"/>
    <col min="4866" max="4866" width="33.42578125" style="1" customWidth="1"/>
    <col min="4867" max="4867" width="20.28515625" style="1" bestFit="1" customWidth="1"/>
    <col min="4868" max="4868" width="19" style="1" bestFit="1" customWidth="1"/>
    <col min="4869" max="4870" width="20.7109375" style="1" bestFit="1" customWidth="1"/>
    <col min="4871" max="4871" width="14.140625" style="1" customWidth="1"/>
    <col min="4872" max="4872" width="20.7109375" style="1" bestFit="1" customWidth="1"/>
    <col min="4873" max="4873" width="15.140625" style="1" customWidth="1"/>
    <col min="4874" max="4874" width="2.7109375" style="1" customWidth="1"/>
    <col min="4875" max="4875" width="19.140625" style="1" bestFit="1" customWidth="1"/>
    <col min="4876" max="4876" width="11.42578125" style="1"/>
    <col min="4877" max="4877" width="25.85546875" style="1" customWidth="1"/>
    <col min="4878" max="5120" width="11.42578125" style="1"/>
    <col min="5121" max="5121" width="3.42578125" style="1" customWidth="1"/>
    <col min="5122" max="5122" width="33.42578125" style="1" customWidth="1"/>
    <col min="5123" max="5123" width="20.28515625" style="1" bestFit="1" customWidth="1"/>
    <col min="5124" max="5124" width="19" style="1" bestFit="1" customWidth="1"/>
    <col min="5125" max="5126" width="20.7109375" style="1" bestFit="1" customWidth="1"/>
    <col min="5127" max="5127" width="14.140625" style="1" customWidth="1"/>
    <col min="5128" max="5128" width="20.7109375" style="1" bestFit="1" customWidth="1"/>
    <col min="5129" max="5129" width="15.140625" style="1" customWidth="1"/>
    <col min="5130" max="5130" width="2.7109375" style="1" customWidth="1"/>
    <col min="5131" max="5131" width="19.140625" style="1" bestFit="1" customWidth="1"/>
    <col min="5132" max="5132" width="11.42578125" style="1"/>
    <col min="5133" max="5133" width="25.85546875" style="1" customWidth="1"/>
    <col min="5134" max="5376" width="11.42578125" style="1"/>
    <col min="5377" max="5377" width="3.42578125" style="1" customWidth="1"/>
    <col min="5378" max="5378" width="33.42578125" style="1" customWidth="1"/>
    <col min="5379" max="5379" width="20.28515625" style="1" bestFit="1" customWidth="1"/>
    <col min="5380" max="5380" width="19" style="1" bestFit="1" customWidth="1"/>
    <col min="5381" max="5382" width="20.7109375" style="1" bestFit="1" customWidth="1"/>
    <col min="5383" max="5383" width="14.140625" style="1" customWidth="1"/>
    <col min="5384" max="5384" width="20.7109375" style="1" bestFit="1" customWidth="1"/>
    <col min="5385" max="5385" width="15.140625" style="1" customWidth="1"/>
    <col min="5386" max="5386" width="2.7109375" style="1" customWidth="1"/>
    <col min="5387" max="5387" width="19.140625" style="1" bestFit="1" customWidth="1"/>
    <col min="5388" max="5388" width="11.42578125" style="1"/>
    <col min="5389" max="5389" width="25.85546875" style="1" customWidth="1"/>
    <col min="5390" max="5632" width="11.42578125" style="1"/>
    <col min="5633" max="5633" width="3.42578125" style="1" customWidth="1"/>
    <col min="5634" max="5634" width="33.42578125" style="1" customWidth="1"/>
    <col min="5635" max="5635" width="20.28515625" style="1" bestFit="1" customWidth="1"/>
    <col min="5636" max="5636" width="19" style="1" bestFit="1" customWidth="1"/>
    <col min="5637" max="5638" width="20.7109375" style="1" bestFit="1" customWidth="1"/>
    <col min="5639" max="5639" width="14.140625" style="1" customWidth="1"/>
    <col min="5640" max="5640" width="20.7109375" style="1" bestFit="1" customWidth="1"/>
    <col min="5641" max="5641" width="15.140625" style="1" customWidth="1"/>
    <col min="5642" max="5642" width="2.7109375" style="1" customWidth="1"/>
    <col min="5643" max="5643" width="19.140625" style="1" bestFit="1" customWidth="1"/>
    <col min="5644" max="5644" width="11.42578125" style="1"/>
    <col min="5645" max="5645" width="25.85546875" style="1" customWidth="1"/>
    <col min="5646" max="5888" width="11.42578125" style="1"/>
    <col min="5889" max="5889" width="3.42578125" style="1" customWidth="1"/>
    <col min="5890" max="5890" width="33.42578125" style="1" customWidth="1"/>
    <col min="5891" max="5891" width="20.28515625" style="1" bestFit="1" customWidth="1"/>
    <col min="5892" max="5892" width="19" style="1" bestFit="1" customWidth="1"/>
    <col min="5893" max="5894" width="20.7109375" style="1" bestFit="1" customWidth="1"/>
    <col min="5895" max="5895" width="14.140625" style="1" customWidth="1"/>
    <col min="5896" max="5896" width="20.7109375" style="1" bestFit="1" customWidth="1"/>
    <col min="5897" max="5897" width="15.140625" style="1" customWidth="1"/>
    <col min="5898" max="5898" width="2.7109375" style="1" customWidth="1"/>
    <col min="5899" max="5899" width="19.140625" style="1" bestFit="1" customWidth="1"/>
    <col min="5900" max="5900" width="11.42578125" style="1"/>
    <col min="5901" max="5901" width="25.85546875" style="1" customWidth="1"/>
    <col min="5902" max="6144" width="11.42578125" style="1"/>
    <col min="6145" max="6145" width="3.42578125" style="1" customWidth="1"/>
    <col min="6146" max="6146" width="33.42578125" style="1" customWidth="1"/>
    <col min="6147" max="6147" width="20.28515625" style="1" bestFit="1" customWidth="1"/>
    <col min="6148" max="6148" width="19" style="1" bestFit="1" customWidth="1"/>
    <col min="6149" max="6150" width="20.7109375" style="1" bestFit="1" customWidth="1"/>
    <col min="6151" max="6151" width="14.140625" style="1" customWidth="1"/>
    <col min="6152" max="6152" width="20.7109375" style="1" bestFit="1" customWidth="1"/>
    <col min="6153" max="6153" width="15.140625" style="1" customWidth="1"/>
    <col min="6154" max="6154" width="2.7109375" style="1" customWidth="1"/>
    <col min="6155" max="6155" width="19.140625" style="1" bestFit="1" customWidth="1"/>
    <col min="6156" max="6156" width="11.42578125" style="1"/>
    <col min="6157" max="6157" width="25.85546875" style="1" customWidth="1"/>
    <col min="6158" max="6400" width="11.42578125" style="1"/>
    <col min="6401" max="6401" width="3.42578125" style="1" customWidth="1"/>
    <col min="6402" max="6402" width="33.42578125" style="1" customWidth="1"/>
    <col min="6403" max="6403" width="20.28515625" style="1" bestFit="1" customWidth="1"/>
    <col min="6404" max="6404" width="19" style="1" bestFit="1" customWidth="1"/>
    <col min="6405" max="6406" width="20.7109375" style="1" bestFit="1" customWidth="1"/>
    <col min="6407" max="6407" width="14.140625" style="1" customWidth="1"/>
    <col min="6408" max="6408" width="20.7109375" style="1" bestFit="1" customWidth="1"/>
    <col min="6409" max="6409" width="15.140625" style="1" customWidth="1"/>
    <col min="6410" max="6410" width="2.7109375" style="1" customWidth="1"/>
    <col min="6411" max="6411" width="19.140625" style="1" bestFit="1" customWidth="1"/>
    <col min="6412" max="6412" width="11.42578125" style="1"/>
    <col min="6413" max="6413" width="25.85546875" style="1" customWidth="1"/>
    <col min="6414" max="6656" width="11.42578125" style="1"/>
    <col min="6657" max="6657" width="3.42578125" style="1" customWidth="1"/>
    <col min="6658" max="6658" width="33.42578125" style="1" customWidth="1"/>
    <col min="6659" max="6659" width="20.28515625" style="1" bestFit="1" customWidth="1"/>
    <col min="6660" max="6660" width="19" style="1" bestFit="1" customWidth="1"/>
    <col min="6661" max="6662" width="20.7109375" style="1" bestFit="1" customWidth="1"/>
    <col min="6663" max="6663" width="14.140625" style="1" customWidth="1"/>
    <col min="6664" max="6664" width="20.7109375" style="1" bestFit="1" customWidth="1"/>
    <col min="6665" max="6665" width="15.140625" style="1" customWidth="1"/>
    <col min="6666" max="6666" width="2.7109375" style="1" customWidth="1"/>
    <col min="6667" max="6667" width="19.140625" style="1" bestFit="1" customWidth="1"/>
    <col min="6668" max="6668" width="11.42578125" style="1"/>
    <col min="6669" max="6669" width="25.85546875" style="1" customWidth="1"/>
    <col min="6670" max="6912" width="11.42578125" style="1"/>
    <col min="6913" max="6913" width="3.42578125" style="1" customWidth="1"/>
    <col min="6914" max="6914" width="33.42578125" style="1" customWidth="1"/>
    <col min="6915" max="6915" width="20.28515625" style="1" bestFit="1" customWidth="1"/>
    <col min="6916" max="6916" width="19" style="1" bestFit="1" customWidth="1"/>
    <col min="6917" max="6918" width="20.7109375" style="1" bestFit="1" customWidth="1"/>
    <col min="6919" max="6919" width="14.140625" style="1" customWidth="1"/>
    <col min="6920" max="6920" width="20.7109375" style="1" bestFit="1" customWidth="1"/>
    <col min="6921" max="6921" width="15.140625" style="1" customWidth="1"/>
    <col min="6922" max="6922" width="2.7109375" style="1" customWidth="1"/>
    <col min="6923" max="6923" width="19.140625" style="1" bestFit="1" customWidth="1"/>
    <col min="6924" max="6924" width="11.42578125" style="1"/>
    <col min="6925" max="6925" width="25.85546875" style="1" customWidth="1"/>
    <col min="6926" max="7168" width="11.42578125" style="1"/>
    <col min="7169" max="7169" width="3.42578125" style="1" customWidth="1"/>
    <col min="7170" max="7170" width="33.42578125" style="1" customWidth="1"/>
    <col min="7171" max="7171" width="20.28515625" style="1" bestFit="1" customWidth="1"/>
    <col min="7172" max="7172" width="19" style="1" bestFit="1" customWidth="1"/>
    <col min="7173" max="7174" width="20.7109375" style="1" bestFit="1" customWidth="1"/>
    <col min="7175" max="7175" width="14.140625" style="1" customWidth="1"/>
    <col min="7176" max="7176" width="20.7109375" style="1" bestFit="1" customWidth="1"/>
    <col min="7177" max="7177" width="15.140625" style="1" customWidth="1"/>
    <col min="7178" max="7178" width="2.7109375" style="1" customWidth="1"/>
    <col min="7179" max="7179" width="19.140625" style="1" bestFit="1" customWidth="1"/>
    <col min="7180" max="7180" width="11.42578125" style="1"/>
    <col min="7181" max="7181" width="25.85546875" style="1" customWidth="1"/>
    <col min="7182" max="7424" width="11.42578125" style="1"/>
    <col min="7425" max="7425" width="3.42578125" style="1" customWidth="1"/>
    <col min="7426" max="7426" width="33.42578125" style="1" customWidth="1"/>
    <col min="7427" max="7427" width="20.28515625" style="1" bestFit="1" customWidth="1"/>
    <col min="7428" max="7428" width="19" style="1" bestFit="1" customWidth="1"/>
    <col min="7429" max="7430" width="20.7109375" style="1" bestFit="1" customWidth="1"/>
    <col min="7431" max="7431" width="14.140625" style="1" customWidth="1"/>
    <col min="7432" max="7432" width="20.7109375" style="1" bestFit="1" customWidth="1"/>
    <col min="7433" max="7433" width="15.140625" style="1" customWidth="1"/>
    <col min="7434" max="7434" width="2.7109375" style="1" customWidth="1"/>
    <col min="7435" max="7435" width="19.140625" style="1" bestFit="1" customWidth="1"/>
    <col min="7436" max="7436" width="11.42578125" style="1"/>
    <col min="7437" max="7437" width="25.85546875" style="1" customWidth="1"/>
    <col min="7438" max="7680" width="11.42578125" style="1"/>
    <col min="7681" max="7681" width="3.42578125" style="1" customWidth="1"/>
    <col min="7682" max="7682" width="33.42578125" style="1" customWidth="1"/>
    <col min="7683" max="7683" width="20.28515625" style="1" bestFit="1" customWidth="1"/>
    <col min="7684" max="7684" width="19" style="1" bestFit="1" customWidth="1"/>
    <col min="7685" max="7686" width="20.7109375" style="1" bestFit="1" customWidth="1"/>
    <col min="7687" max="7687" width="14.140625" style="1" customWidth="1"/>
    <col min="7688" max="7688" width="20.7109375" style="1" bestFit="1" customWidth="1"/>
    <col min="7689" max="7689" width="15.140625" style="1" customWidth="1"/>
    <col min="7690" max="7690" width="2.7109375" style="1" customWidth="1"/>
    <col min="7691" max="7691" width="19.140625" style="1" bestFit="1" customWidth="1"/>
    <col min="7692" max="7692" width="11.42578125" style="1"/>
    <col min="7693" max="7693" width="25.85546875" style="1" customWidth="1"/>
    <col min="7694" max="7936" width="11.42578125" style="1"/>
    <col min="7937" max="7937" width="3.42578125" style="1" customWidth="1"/>
    <col min="7938" max="7938" width="33.42578125" style="1" customWidth="1"/>
    <col min="7939" max="7939" width="20.28515625" style="1" bestFit="1" customWidth="1"/>
    <col min="7940" max="7940" width="19" style="1" bestFit="1" customWidth="1"/>
    <col min="7941" max="7942" width="20.7109375" style="1" bestFit="1" customWidth="1"/>
    <col min="7943" max="7943" width="14.140625" style="1" customWidth="1"/>
    <col min="7944" max="7944" width="20.7109375" style="1" bestFit="1" customWidth="1"/>
    <col min="7945" max="7945" width="15.140625" style="1" customWidth="1"/>
    <col min="7946" max="7946" width="2.7109375" style="1" customWidth="1"/>
    <col min="7947" max="7947" width="19.140625" style="1" bestFit="1" customWidth="1"/>
    <col min="7948" max="7948" width="11.42578125" style="1"/>
    <col min="7949" max="7949" width="25.85546875" style="1" customWidth="1"/>
    <col min="7950" max="8192" width="11.42578125" style="1"/>
    <col min="8193" max="8193" width="3.42578125" style="1" customWidth="1"/>
    <col min="8194" max="8194" width="33.42578125" style="1" customWidth="1"/>
    <col min="8195" max="8195" width="20.28515625" style="1" bestFit="1" customWidth="1"/>
    <col min="8196" max="8196" width="19" style="1" bestFit="1" customWidth="1"/>
    <col min="8197" max="8198" width="20.7109375" style="1" bestFit="1" customWidth="1"/>
    <col min="8199" max="8199" width="14.140625" style="1" customWidth="1"/>
    <col min="8200" max="8200" width="20.7109375" style="1" bestFit="1" customWidth="1"/>
    <col min="8201" max="8201" width="15.140625" style="1" customWidth="1"/>
    <col min="8202" max="8202" width="2.7109375" style="1" customWidth="1"/>
    <col min="8203" max="8203" width="19.140625" style="1" bestFit="1" customWidth="1"/>
    <col min="8204" max="8204" width="11.42578125" style="1"/>
    <col min="8205" max="8205" width="25.85546875" style="1" customWidth="1"/>
    <col min="8206" max="8448" width="11.42578125" style="1"/>
    <col min="8449" max="8449" width="3.42578125" style="1" customWidth="1"/>
    <col min="8450" max="8450" width="33.42578125" style="1" customWidth="1"/>
    <col min="8451" max="8451" width="20.28515625" style="1" bestFit="1" customWidth="1"/>
    <col min="8452" max="8452" width="19" style="1" bestFit="1" customWidth="1"/>
    <col min="8453" max="8454" width="20.7109375" style="1" bestFit="1" customWidth="1"/>
    <col min="8455" max="8455" width="14.140625" style="1" customWidth="1"/>
    <col min="8456" max="8456" width="20.7109375" style="1" bestFit="1" customWidth="1"/>
    <col min="8457" max="8457" width="15.140625" style="1" customWidth="1"/>
    <col min="8458" max="8458" width="2.7109375" style="1" customWidth="1"/>
    <col min="8459" max="8459" width="19.140625" style="1" bestFit="1" customWidth="1"/>
    <col min="8460" max="8460" width="11.42578125" style="1"/>
    <col min="8461" max="8461" width="25.85546875" style="1" customWidth="1"/>
    <col min="8462" max="8704" width="11.42578125" style="1"/>
    <col min="8705" max="8705" width="3.42578125" style="1" customWidth="1"/>
    <col min="8706" max="8706" width="33.42578125" style="1" customWidth="1"/>
    <col min="8707" max="8707" width="20.28515625" style="1" bestFit="1" customWidth="1"/>
    <col min="8708" max="8708" width="19" style="1" bestFit="1" customWidth="1"/>
    <col min="8709" max="8710" width="20.7109375" style="1" bestFit="1" customWidth="1"/>
    <col min="8711" max="8711" width="14.140625" style="1" customWidth="1"/>
    <col min="8712" max="8712" width="20.7109375" style="1" bestFit="1" customWidth="1"/>
    <col min="8713" max="8713" width="15.140625" style="1" customWidth="1"/>
    <col min="8714" max="8714" width="2.7109375" style="1" customWidth="1"/>
    <col min="8715" max="8715" width="19.140625" style="1" bestFit="1" customWidth="1"/>
    <col min="8716" max="8716" width="11.42578125" style="1"/>
    <col min="8717" max="8717" width="25.85546875" style="1" customWidth="1"/>
    <col min="8718" max="8960" width="11.42578125" style="1"/>
    <col min="8961" max="8961" width="3.42578125" style="1" customWidth="1"/>
    <col min="8962" max="8962" width="33.42578125" style="1" customWidth="1"/>
    <col min="8963" max="8963" width="20.28515625" style="1" bestFit="1" customWidth="1"/>
    <col min="8964" max="8964" width="19" style="1" bestFit="1" customWidth="1"/>
    <col min="8965" max="8966" width="20.7109375" style="1" bestFit="1" customWidth="1"/>
    <col min="8967" max="8967" width="14.140625" style="1" customWidth="1"/>
    <col min="8968" max="8968" width="20.7109375" style="1" bestFit="1" customWidth="1"/>
    <col min="8969" max="8969" width="15.140625" style="1" customWidth="1"/>
    <col min="8970" max="8970" width="2.7109375" style="1" customWidth="1"/>
    <col min="8971" max="8971" width="19.140625" style="1" bestFit="1" customWidth="1"/>
    <col min="8972" max="8972" width="11.42578125" style="1"/>
    <col min="8973" max="8973" width="25.85546875" style="1" customWidth="1"/>
    <col min="8974" max="9216" width="11.42578125" style="1"/>
    <col min="9217" max="9217" width="3.42578125" style="1" customWidth="1"/>
    <col min="9218" max="9218" width="33.42578125" style="1" customWidth="1"/>
    <col min="9219" max="9219" width="20.28515625" style="1" bestFit="1" customWidth="1"/>
    <col min="9220" max="9220" width="19" style="1" bestFit="1" customWidth="1"/>
    <col min="9221" max="9222" width="20.7109375" style="1" bestFit="1" customWidth="1"/>
    <col min="9223" max="9223" width="14.140625" style="1" customWidth="1"/>
    <col min="9224" max="9224" width="20.7109375" style="1" bestFit="1" customWidth="1"/>
    <col min="9225" max="9225" width="15.140625" style="1" customWidth="1"/>
    <col min="9226" max="9226" width="2.7109375" style="1" customWidth="1"/>
    <col min="9227" max="9227" width="19.140625" style="1" bestFit="1" customWidth="1"/>
    <col min="9228" max="9228" width="11.42578125" style="1"/>
    <col min="9229" max="9229" width="25.85546875" style="1" customWidth="1"/>
    <col min="9230" max="9472" width="11.42578125" style="1"/>
    <col min="9473" max="9473" width="3.42578125" style="1" customWidth="1"/>
    <col min="9474" max="9474" width="33.42578125" style="1" customWidth="1"/>
    <col min="9475" max="9475" width="20.28515625" style="1" bestFit="1" customWidth="1"/>
    <col min="9476" max="9476" width="19" style="1" bestFit="1" customWidth="1"/>
    <col min="9477" max="9478" width="20.7109375" style="1" bestFit="1" customWidth="1"/>
    <col min="9479" max="9479" width="14.140625" style="1" customWidth="1"/>
    <col min="9480" max="9480" width="20.7109375" style="1" bestFit="1" customWidth="1"/>
    <col min="9481" max="9481" width="15.140625" style="1" customWidth="1"/>
    <col min="9482" max="9482" width="2.7109375" style="1" customWidth="1"/>
    <col min="9483" max="9483" width="19.140625" style="1" bestFit="1" customWidth="1"/>
    <col min="9484" max="9484" width="11.42578125" style="1"/>
    <col min="9485" max="9485" width="25.85546875" style="1" customWidth="1"/>
    <col min="9486" max="9728" width="11.42578125" style="1"/>
    <col min="9729" max="9729" width="3.42578125" style="1" customWidth="1"/>
    <col min="9730" max="9730" width="33.42578125" style="1" customWidth="1"/>
    <col min="9731" max="9731" width="20.28515625" style="1" bestFit="1" customWidth="1"/>
    <col min="9732" max="9732" width="19" style="1" bestFit="1" customWidth="1"/>
    <col min="9733" max="9734" width="20.7109375" style="1" bestFit="1" customWidth="1"/>
    <col min="9735" max="9735" width="14.140625" style="1" customWidth="1"/>
    <col min="9736" max="9736" width="20.7109375" style="1" bestFit="1" customWidth="1"/>
    <col min="9737" max="9737" width="15.140625" style="1" customWidth="1"/>
    <col min="9738" max="9738" width="2.7109375" style="1" customWidth="1"/>
    <col min="9739" max="9739" width="19.140625" style="1" bestFit="1" customWidth="1"/>
    <col min="9740" max="9740" width="11.42578125" style="1"/>
    <col min="9741" max="9741" width="25.85546875" style="1" customWidth="1"/>
    <col min="9742" max="9984" width="11.42578125" style="1"/>
    <col min="9985" max="9985" width="3.42578125" style="1" customWidth="1"/>
    <col min="9986" max="9986" width="33.42578125" style="1" customWidth="1"/>
    <col min="9987" max="9987" width="20.28515625" style="1" bestFit="1" customWidth="1"/>
    <col min="9988" max="9988" width="19" style="1" bestFit="1" customWidth="1"/>
    <col min="9989" max="9990" width="20.7109375" style="1" bestFit="1" customWidth="1"/>
    <col min="9991" max="9991" width="14.140625" style="1" customWidth="1"/>
    <col min="9992" max="9992" width="20.7109375" style="1" bestFit="1" customWidth="1"/>
    <col min="9993" max="9993" width="15.140625" style="1" customWidth="1"/>
    <col min="9994" max="9994" width="2.7109375" style="1" customWidth="1"/>
    <col min="9995" max="9995" width="19.140625" style="1" bestFit="1" customWidth="1"/>
    <col min="9996" max="9996" width="11.42578125" style="1"/>
    <col min="9997" max="9997" width="25.85546875" style="1" customWidth="1"/>
    <col min="9998" max="10240" width="11.42578125" style="1"/>
    <col min="10241" max="10241" width="3.42578125" style="1" customWidth="1"/>
    <col min="10242" max="10242" width="33.42578125" style="1" customWidth="1"/>
    <col min="10243" max="10243" width="20.28515625" style="1" bestFit="1" customWidth="1"/>
    <col min="10244" max="10244" width="19" style="1" bestFit="1" customWidth="1"/>
    <col min="10245" max="10246" width="20.7109375" style="1" bestFit="1" customWidth="1"/>
    <col min="10247" max="10247" width="14.140625" style="1" customWidth="1"/>
    <col min="10248" max="10248" width="20.7109375" style="1" bestFit="1" customWidth="1"/>
    <col min="10249" max="10249" width="15.140625" style="1" customWidth="1"/>
    <col min="10250" max="10250" width="2.7109375" style="1" customWidth="1"/>
    <col min="10251" max="10251" width="19.140625" style="1" bestFit="1" customWidth="1"/>
    <col min="10252" max="10252" width="11.42578125" style="1"/>
    <col min="10253" max="10253" width="25.85546875" style="1" customWidth="1"/>
    <col min="10254" max="10496" width="11.42578125" style="1"/>
    <col min="10497" max="10497" width="3.42578125" style="1" customWidth="1"/>
    <col min="10498" max="10498" width="33.42578125" style="1" customWidth="1"/>
    <col min="10499" max="10499" width="20.28515625" style="1" bestFit="1" customWidth="1"/>
    <col min="10500" max="10500" width="19" style="1" bestFit="1" customWidth="1"/>
    <col min="10501" max="10502" width="20.7109375" style="1" bestFit="1" customWidth="1"/>
    <col min="10503" max="10503" width="14.140625" style="1" customWidth="1"/>
    <col min="10504" max="10504" width="20.7109375" style="1" bestFit="1" customWidth="1"/>
    <col min="10505" max="10505" width="15.140625" style="1" customWidth="1"/>
    <col min="10506" max="10506" width="2.7109375" style="1" customWidth="1"/>
    <col min="10507" max="10507" width="19.140625" style="1" bestFit="1" customWidth="1"/>
    <col min="10508" max="10508" width="11.42578125" style="1"/>
    <col min="10509" max="10509" width="25.85546875" style="1" customWidth="1"/>
    <col min="10510" max="10752" width="11.42578125" style="1"/>
    <col min="10753" max="10753" width="3.42578125" style="1" customWidth="1"/>
    <col min="10754" max="10754" width="33.42578125" style="1" customWidth="1"/>
    <col min="10755" max="10755" width="20.28515625" style="1" bestFit="1" customWidth="1"/>
    <col min="10756" max="10756" width="19" style="1" bestFit="1" customWidth="1"/>
    <col min="10757" max="10758" width="20.7109375" style="1" bestFit="1" customWidth="1"/>
    <col min="10759" max="10759" width="14.140625" style="1" customWidth="1"/>
    <col min="10760" max="10760" width="20.7109375" style="1" bestFit="1" customWidth="1"/>
    <col min="10761" max="10761" width="15.140625" style="1" customWidth="1"/>
    <col min="10762" max="10762" width="2.7109375" style="1" customWidth="1"/>
    <col min="10763" max="10763" width="19.140625" style="1" bestFit="1" customWidth="1"/>
    <col min="10764" max="10764" width="11.42578125" style="1"/>
    <col min="10765" max="10765" width="25.85546875" style="1" customWidth="1"/>
    <col min="10766" max="11008" width="11.42578125" style="1"/>
    <col min="11009" max="11009" width="3.42578125" style="1" customWidth="1"/>
    <col min="11010" max="11010" width="33.42578125" style="1" customWidth="1"/>
    <col min="11011" max="11011" width="20.28515625" style="1" bestFit="1" customWidth="1"/>
    <col min="11012" max="11012" width="19" style="1" bestFit="1" customWidth="1"/>
    <col min="11013" max="11014" width="20.7109375" style="1" bestFit="1" customWidth="1"/>
    <col min="11015" max="11015" width="14.140625" style="1" customWidth="1"/>
    <col min="11016" max="11016" width="20.7109375" style="1" bestFit="1" customWidth="1"/>
    <col min="11017" max="11017" width="15.140625" style="1" customWidth="1"/>
    <col min="11018" max="11018" width="2.7109375" style="1" customWidth="1"/>
    <col min="11019" max="11019" width="19.140625" style="1" bestFit="1" customWidth="1"/>
    <col min="11020" max="11020" width="11.42578125" style="1"/>
    <col min="11021" max="11021" width="25.85546875" style="1" customWidth="1"/>
    <col min="11022" max="11264" width="11.42578125" style="1"/>
    <col min="11265" max="11265" width="3.42578125" style="1" customWidth="1"/>
    <col min="11266" max="11266" width="33.42578125" style="1" customWidth="1"/>
    <col min="11267" max="11267" width="20.28515625" style="1" bestFit="1" customWidth="1"/>
    <col min="11268" max="11268" width="19" style="1" bestFit="1" customWidth="1"/>
    <col min="11269" max="11270" width="20.7109375" style="1" bestFit="1" customWidth="1"/>
    <col min="11271" max="11271" width="14.140625" style="1" customWidth="1"/>
    <col min="11272" max="11272" width="20.7109375" style="1" bestFit="1" customWidth="1"/>
    <col min="11273" max="11273" width="15.140625" style="1" customWidth="1"/>
    <col min="11274" max="11274" width="2.7109375" style="1" customWidth="1"/>
    <col min="11275" max="11275" width="19.140625" style="1" bestFit="1" customWidth="1"/>
    <col min="11276" max="11276" width="11.42578125" style="1"/>
    <col min="11277" max="11277" width="25.85546875" style="1" customWidth="1"/>
    <col min="11278" max="11520" width="11.42578125" style="1"/>
    <col min="11521" max="11521" width="3.42578125" style="1" customWidth="1"/>
    <col min="11522" max="11522" width="33.42578125" style="1" customWidth="1"/>
    <col min="11523" max="11523" width="20.28515625" style="1" bestFit="1" customWidth="1"/>
    <col min="11524" max="11524" width="19" style="1" bestFit="1" customWidth="1"/>
    <col min="11525" max="11526" width="20.7109375" style="1" bestFit="1" customWidth="1"/>
    <col min="11527" max="11527" width="14.140625" style="1" customWidth="1"/>
    <col min="11528" max="11528" width="20.7109375" style="1" bestFit="1" customWidth="1"/>
    <col min="11529" max="11529" width="15.140625" style="1" customWidth="1"/>
    <col min="11530" max="11530" width="2.7109375" style="1" customWidth="1"/>
    <col min="11531" max="11531" width="19.140625" style="1" bestFit="1" customWidth="1"/>
    <col min="11532" max="11532" width="11.42578125" style="1"/>
    <col min="11533" max="11533" width="25.85546875" style="1" customWidth="1"/>
    <col min="11534" max="11776" width="11.42578125" style="1"/>
    <col min="11777" max="11777" width="3.42578125" style="1" customWidth="1"/>
    <col min="11778" max="11778" width="33.42578125" style="1" customWidth="1"/>
    <col min="11779" max="11779" width="20.28515625" style="1" bestFit="1" customWidth="1"/>
    <col min="11780" max="11780" width="19" style="1" bestFit="1" customWidth="1"/>
    <col min="11781" max="11782" width="20.7109375" style="1" bestFit="1" customWidth="1"/>
    <col min="11783" max="11783" width="14.140625" style="1" customWidth="1"/>
    <col min="11784" max="11784" width="20.7109375" style="1" bestFit="1" customWidth="1"/>
    <col min="11785" max="11785" width="15.140625" style="1" customWidth="1"/>
    <col min="11786" max="11786" width="2.7109375" style="1" customWidth="1"/>
    <col min="11787" max="11787" width="19.140625" style="1" bestFit="1" customWidth="1"/>
    <col min="11788" max="11788" width="11.42578125" style="1"/>
    <col min="11789" max="11789" width="25.85546875" style="1" customWidth="1"/>
    <col min="11790" max="12032" width="11.42578125" style="1"/>
    <col min="12033" max="12033" width="3.42578125" style="1" customWidth="1"/>
    <col min="12034" max="12034" width="33.42578125" style="1" customWidth="1"/>
    <col min="12035" max="12035" width="20.28515625" style="1" bestFit="1" customWidth="1"/>
    <col min="12036" max="12036" width="19" style="1" bestFit="1" customWidth="1"/>
    <col min="12037" max="12038" width="20.7109375" style="1" bestFit="1" customWidth="1"/>
    <col min="12039" max="12039" width="14.140625" style="1" customWidth="1"/>
    <col min="12040" max="12040" width="20.7109375" style="1" bestFit="1" customWidth="1"/>
    <col min="12041" max="12041" width="15.140625" style="1" customWidth="1"/>
    <col min="12042" max="12042" width="2.7109375" style="1" customWidth="1"/>
    <col min="12043" max="12043" width="19.140625" style="1" bestFit="1" customWidth="1"/>
    <col min="12044" max="12044" width="11.42578125" style="1"/>
    <col min="12045" max="12045" width="25.85546875" style="1" customWidth="1"/>
    <col min="12046" max="12288" width="11.42578125" style="1"/>
    <col min="12289" max="12289" width="3.42578125" style="1" customWidth="1"/>
    <col min="12290" max="12290" width="33.42578125" style="1" customWidth="1"/>
    <col min="12291" max="12291" width="20.28515625" style="1" bestFit="1" customWidth="1"/>
    <col min="12292" max="12292" width="19" style="1" bestFit="1" customWidth="1"/>
    <col min="12293" max="12294" width="20.7109375" style="1" bestFit="1" customWidth="1"/>
    <col min="12295" max="12295" width="14.140625" style="1" customWidth="1"/>
    <col min="12296" max="12296" width="20.7109375" style="1" bestFit="1" customWidth="1"/>
    <col min="12297" max="12297" width="15.140625" style="1" customWidth="1"/>
    <col min="12298" max="12298" width="2.7109375" style="1" customWidth="1"/>
    <col min="12299" max="12299" width="19.140625" style="1" bestFit="1" customWidth="1"/>
    <col min="12300" max="12300" width="11.42578125" style="1"/>
    <col min="12301" max="12301" width="25.85546875" style="1" customWidth="1"/>
    <col min="12302" max="12544" width="11.42578125" style="1"/>
    <col min="12545" max="12545" width="3.42578125" style="1" customWidth="1"/>
    <col min="12546" max="12546" width="33.42578125" style="1" customWidth="1"/>
    <col min="12547" max="12547" width="20.28515625" style="1" bestFit="1" customWidth="1"/>
    <col min="12548" max="12548" width="19" style="1" bestFit="1" customWidth="1"/>
    <col min="12549" max="12550" width="20.7109375" style="1" bestFit="1" customWidth="1"/>
    <col min="12551" max="12551" width="14.140625" style="1" customWidth="1"/>
    <col min="12552" max="12552" width="20.7109375" style="1" bestFit="1" customWidth="1"/>
    <col min="12553" max="12553" width="15.140625" style="1" customWidth="1"/>
    <col min="12554" max="12554" width="2.7109375" style="1" customWidth="1"/>
    <col min="12555" max="12555" width="19.140625" style="1" bestFit="1" customWidth="1"/>
    <col min="12556" max="12556" width="11.42578125" style="1"/>
    <col min="12557" max="12557" width="25.85546875" style="1" customWidth="1"/>
    <col min="12558" max="12800" width="11.42578125" style="1"/>
    <col min="12801" max="12801" width="3.42578125" style="1" customWidth="1"/>
    <col min="12802" max="12802" width="33.42578125" style="1" customWidth="1"/>
    <col min="12803" max="12803" width="20.28515625" style="1" bestFit="1" customWidth="1"/>
    <col min="12804" max="12804" width="19" style="1" bestFit="1" customWidth="1"/>
    <col min="12805" max="12806" width="20.7109375" style="1" bestFit="1" customWidth="1"/>
    <col min="12807" max="12807" width="14.140625" style="1" customWidth="1"/>
    <col min="12808" max="12808" width="20.7109375" style="1" bestFit="1" customWidth="1"/>
    <col min="12809" max="12809" width="15.140625" style="1" customWidth="1"/>
    <col min="12810" max="12810" width="2.7109375" style="1" customWidth="1"/>
    <col min="12811" max="12811" width="19.140625" style="1" bestFit="1" customWidth="1"/>
    <col min="12812" max="12812" width="11.42578125" style="1"/>
    <col min="12813" max="12813" width="25.85546875" style="1" customWidth="1"/>
    <col min="12814" max="13056" width="11.42578125" style="1"/>
    <col min="13057" max="13057" width="3.42578125" style="1" customWidth="1"/>
    <col min="13058" max="13058" width="33.42578125" style="1" customWidth="1"/>
    <col min="13059" max="13059" width="20.28515625" style="1" bestFit="1" customWidth="1"/>
    <col min="13060" max="13060" width="19" style="1" bestFit="1" customWidth="1"/>
    <col min="13061" max="13062" width="20.7109375" style="1" bestFit="1" customWidth="1"/>
    <col min="13063" max="13063" width="14.140625" style="1" customWidth="1"/>
    <col min="13064" max="13064" width="20.7109375" style="1" bestFit="1" customWidth="1"/>
    <col min="13065" max="13065" width="15.140625" style="1" customWidth="1"/>
    <col min="13066" max="13066" width="2.7109375" style="1" customWidth="1"/>
    <col min="13067" max="13067" width="19.140625" style="1" bestFit="1" customWidth="1"/>
    <col min="13068" max="13068" width="11.42578125" style="1"/>
    <col min="13069" max="13069" width="25.85546875" style="1" customWidth="1"/>
    <col min="13070" max="13312" width="11.42578125" style="1"/>
    <col min="13313" max="13313" width="3.42578125" style="1" customWidth="1"/>
    <col min="13314" max="13314" width="33.42578125" style="1" customWidth="1"/>
    <col min="13315" max="13315" width="20.28515625" style="1" bestFit="1" customWidth="1"/>
    <col min="13316" max="13316" width="19" style="1" bestFit="1" customWidth="1"/>
    <col min="13317" max="13318" width="20.7109375" style="1" bestFit="1" customWidth="1"/>
    <col min="13319" max="13319" width="14.140625" style="1" customWidth="1"/>
    <col min="13320" max="13320" width="20.7109375" style="1" bestFit="1" customWidth="1"/>
    <col min="13321" max="13321" width="15.140625" style="1" customWidth="1"/>
    <col min="13322" max="13322" width="2.7109375" style="1" customWidth="1"/>
    <col min="13323" max="13323" width="19.140625" style="1" bestFit="1" customWidth="1"/>
    <col min="13324" max="13324" width="11.42578125" style="1"/>
    <col min="13325" max="13325" width="25.85546875" style="1" customWidth="1"/>
    <col min="13326" max="13568" width="11.42578125" style="1"/>
    <col min="13569" max="13569" width="3.42578125" style="1" customWidth="1"/>
    <col min="13570" max="13570" width="33.42578125" style="1" customWidth="1"/>
    <col min="13571" max="13571" width="20.28515625" style="1" bestFit="1" customWidth="1"/>
    <col min="13572" max="13572" width="19" style="1" bestFit="1" customWidth="1"/>
    <col min="13573" max="13574" width="20.7109375" style="1" bestFit="1" customWidth="1"/>
    <col min="13575" max="13575" width="14.140625" style="1" customWidth="1"/>
    <col min="13576" max="13576" width="20.7109375" style="1" bestFit="1" customWidth="1"/>
    <col min="13577" max="13577" width="15.140625" style="1" customWidth="1"/>
    <col min="13578" max="13578" width="2.7109375" style="1" customWidth="1"/>
    <col min="13579" max="13579" width="19.140625" style="1" bestFit="1" customWidth="1"/>
    <col min="13580" max="13580" width="11.42578125" style="1"/>
    <col min="13581" max="13581" width="25.85546875" style="1" customWidth="1"/>
    <col min="13582" max="13824" width="11.42578125" style="1"/>
    <col min="13825" max="13825" width="3.42578125" style="1" customWidth="1"/>
    <col min="13826" max="13826" width="33.42578125" style="1" customWidth="1"/>
    <col min="13827" max="13827" width="20.28515625" style="1" bestFit="1" customWidth="1"/>
    <col min="13828" max="13828" width="19" style="1" bestFit="1" customWidth="1"/>
    <col min="13829" max="13830" width="20.7109375" style="1" bestFit="1" customWidth="1"/>
    <col min="13831" max="13831" width="14.140625" style="1" customWidth="1"/>
    <col min="13832" max="13832" width="20.7109375" style="1" bestFit="1" customWidth="1"/>
    <col min="13833" max="13833" width="15.140625" style="1" customWidth="1"/>
    <col min="13834" max="13834" width="2.7109375" style="1" customWidth="1"/>
    <col min="13835" max="13835" width="19.140625" style="1" bestFit="1" customWidth="1"/>
    <col min="13836" max="13836" width="11.42578125" style="1"/>
    <col min="13837" max="13837" width="25.85546875" style="1" customWidth="1"/>
    <col min="13838" max="14080" width="11.42578125" style="1"/>
    <col min="14081" max="14081" width="3.42578125" style="1" customWidth="1"/>
    <col min="14082" max="14082" width="33.42578125" style="1" customWidth="1"/>
    <col min="14083" max="14083" width="20.28515625" style="1" bestFit="1" customWidth="1"/>
    <col min="14084" max="14084" width="19" style="1" bestFit="1" customWidth="1"/>
    <col min="14085" max="14086" width="20.7109375" style="1" bestFit="1" customWidth="1"/>
    <col min="14087" max="14087" width="14.140625" style="1" customWidth="1"/>
    <col min="14088" max="14088" width="20.7109375" style="1" bestFit="1" customWidth="1"/>
    <col min="14089" max="14089" width="15.140625" style="1" customWidth="1"/>
    <col min="14090" max="14090" width="2.7109375" style="1" customWidth="1"/>
    <col min="14091" max="14091" width="19.140625" style="1" bestFit="1" customWidth="1"/>
    <col min="14092" max="14092" width="11.42578125" style="1"/>
    <col min="14093" max="14093" width="25.85546875" style="1" customWidth="1"/>
    <col min="14094" max="14336" width="11.42578125" style="1"/>
    <col min="14337" max="14337" width="3.42578125" style="1" customWidth="1"/>
    <col min="14338" max="14338" width="33.42578125" style="1" customWidth="1"/>
    <col min="14339" max="14339" width="20.28515625" style="1" bestFit="1" customWidth="1"/>
    <col min="14340" max="14340" width="19" style="1" bestFit="1" customWidth="1"/>
    <col min="14341" max="14342" width="20.7109375" style="1" bestFit="1" customWidth="1"/>
    <col min="14343" max="14343" width="14.140625" style="1" customWidth="1"/>
    <col min="14344" max="14344" width="20.7109375" style="1" bestFit="1" customWidth="1"/>
    <col min="14345" max="14345" width="15.140625" style="1" customWidth="1"/>
    <col min="14346" max="14346" width="2.7109375" style="1" customWidth="1"/>
    <col min="14347" max="14347" width="19.140625" style="1" bestFit="1" customWidth="1"/>
    <col min="14348" max="14348" width="11.42578125" style="1"/>
    <col min="14349" max="14349" width="25.85546875" style="1" customWidth="1"/>
    <col min="14350" max="14592" width="11.42578125" style="1"/>
    <col min="14593" max="14593" width="3.42578125" style="1" customWidth="1"/>
    <col min="14594" max="14594" width="33.42578125" style="1" customWidth="1"/>
    <col min="14595" max="14595" width="20.28515625" style="1" bestFit="1" customWidth="1"/>
    <col min="14596" max="14596" width="19" style="1" bestFit="1" customWidth="1"/>
    <col min="14597" max="14598" width="20.7109375" style="1" bestFit="1" customWidth="1"/>
    <col min="14599" max="14599" width="14.140625" style="1" customWidth="1"/>
    <col min="14600" max="14600" width="20.7109375" style="1" bestFit="1" customWidth="1"/>
    <col min="14601" max="14601" width="15.140625" style="1" customWidth="1"/>
    <col min="14602" max="14602" width="2.7109375" style="1" customWidth="1"/>
    <col min="14603" max="14603" width="19.140625" style="1" bestFit="1" customWidth="1"/>
    <col min="14604" max="14604" width="11.42578125" style="1"/>
    <col min="14605" max="14605" width="25.85546875" style="1" customWidth="1"/>
    <col min="14606" max="14848" width="11.42578125" style="1"/>
    <col min="14849" max="14849" width="3.42578125" style="1" customWidth="1"/>
    <col min="14850" max="14850" width="33.42578125" style="1" customWidth="1"/>
    <col min="14851" max="14851" width="20.28515625" style="1" bestFit="1" customWidth="1"/>
    <col min="14852" max="14852" width="19" style="1" bestFit="1" customWidth="1"/>
    <col min="14853" max="14854" width="20.7109375" style="1" bestFit="1" customWidth="1"/>
    <col min="14855" max="14855" width="14.140625" style="1" customWidth="1"/>
    <col min="14856" max="14856" width="20.7109375" style="1" bestFit="1" customWidth="1"/>
    <col min="14857" max="14857" width="15.140625" style="1" customWidth="1"/>
    <col min="14858" max="14858" width="2.7109375" style="1" customWidth="1"/>
    <col min="14859" max="14859" width="19.140625" style="1" bestFit="1" customWidth="1"/>
    <col min="14860" max="14860" width="11.42578125" style="1"/>
    <col min="14861" max="14861" width="25.85546875" style="1" customWidth="1"/>
    <col min="14862" max="15104" width="11.42578125" style="1"/>
    <col min="15105" max="15105" width="3.42578125" style="1" customWidth="1"/>
    <col min="15106" max="15106" width="33.42578125" style="1" customWidth="1"/>
    <col min="15107" max="15107" width="20.28515625" style="1" bestFit="1" customWidth="1"/>
    <col min="15108" max="15108" width="19" style="1" bestFit="1" customWidth="1"/>
    <col min="15109" max="15110" width="20.7109375" style="1" bestFit="1" customWidth="1"/>
    <col min="15111" max="15111" width="14.140625" style="1" customWidth="1"/>
    <col min="15112" max="15112" width="20.7109375" style="1" bestFit="1" customWidth="1"/>
    <col min="15113" max="15113" width="15.140625" style="1" customWidth="1"/>
    <col min="15114" max="15114" width="2.7109375" style="1" customWidth="1"/>
    <col min="15115" max="15115" width="19.140625" style="1" bestFit="1" customWidth="1"/>
    <col min="15116" max="15116" width="11.42578125" style="1"/>
    <col min="15117" max="15117" width="25.85546875" style="1" customWidth="1"/>
    <col min="15118" max="15360" width="11.42578125" style="1"/>
    <col min="15361" max="15361" width="3.42578125" style="1" customWidth="1"/>
    <col min="15362" max="15362" width="33.42578125" style="1" customWidth="1"/>
    <col min="15363" max="15363" width="20.28515625" style="1" bestFit="1" customWidth="1"/>
    <col min="15364" max="15364" width="19" style="1" bestFit="1" customWidth="1"/>
    <col min="15365" max="15366" width="20.7109375" style="1" bestFit="1" customWidth="1"/>
    <col min="15367" max="15367" width="14.140625" style="1" customWidth="1"/>
    <col min="15368" max="15368" width="20.7109375" style="1" bestFit="1" customWidth="1"/>
    <col min="15369" max="15369" width="15.140625" style="1" customWidth="1"/>
    <col min="15370" max="15370" width="2.7109375" style="1" customWidth="1"/>
    <col min="15371" max="15371" width="19.140625" style="1" bestFit="1" customWidth="1"/>
    <col min="15372" max="15372" width="11.42578125" style="1"/>
    <col min="15373" max="15373" width="25.85546875" style="1" customWidth="1"/>
    <col min="15374" max="15616" width="11.42578125" style="1"/>
    <col min="15617" max="15617" width="3.42578125" style="1" customWidth="1"/>
    <col min="15618" max="15618" width="33.42578125" style="1" customWidth="1"/>
    <col min="15619" max="15619" width="20.28515625" style="1" bestFit="1" customWidth="1"/>
    <col min="15620" max="15620" width="19" style="1" bestFit="1" customWidth="1"/>
    <col min="15621" max="15622" width="20.7109375" style="1" bestFit="1" customWidth="1"/>
    <col min="15623" max="15623" width="14.140625" style="1" customWidth="1"/>
    <col min="15624" max="15624" width="20.7109375" style="1" bestFit="1" customWidth="1"/>
    <col min="15625" max="15625" width="15.140625" style="1" customWidth="1"/>
    <col min="15626" max="15626" width="2.7109375" style="1" customWidth="1"/>
    <col min="15627" max="15627" width="19.140625" style="1" bestFit="1" customWidth="1"/>
    <col min="15628" max="15628" width="11.42578125" style="1"/>
    <col min="15629" max="15629" width="25.85546875" style="1" customWidth="1"/>
    <col min="15630" max="15872" width="11.42578125" style="1"/>
    <col min="15873" max="15873" width="3.42578125" style="1" customWidth="1"/>
    <col min="15874" max="15874" width="33.42578125" style="1" customWidth="1"/>
    <col min="15875" max="15875" width="20.28515625" style="1" bestFit="1" customWidth="1"/>
    <col min="15876" max="15876" width="19" style="1" bestFit="1" customWidth="1"/>
    <col min="15877" max="15878" width="20.7109375" style="1" bestFit="1" customWidth="1"/>
    <col min="15879" max="15879" width="14.140625" style="1" customWidth="1"/>
    <col min="15880" max="15880" width="20.7109375" style="1" bestFit="1" customWidth="1"/>
    <col min="15881" max="15881" width="15.140625" style="1" customWidth="1"/>
    <col min="15882" max="15882" width="2.7109375" style="1" customWidth="1"/>
    <col min="15883" max="15883" width="19.140625" style="1" bestFit="1" customWidth="1"/>
    <col min="15884" max="15884" width="11.42578125" style="1"/>
    <col min="15885" max="15885" width="25.85546875" style="1" customWidth="1"/>
    <col min="15886" max="16128" width="11.42578125" style="1"/>
    <col min="16129" max="16129" width="3.42578125" style="1" customWidth="1"/>
    <col min="16130" max="16130" width="33.42578125" style="1" customWidth="1"/>
    <col min="16131" max="16131" width="20.28515625" style="1" bestFit="1" customWidth="1"/>
    <col min="16132" max="16132" width="19" style="1" bestFit="1" customWidth="1"/>
    <col min="16133" max="16134" width="20.7109375" style="1" bestFit="1" customWidth="1"/>
    <col min="16135" max="16135" width="14.140625" style="1" customWidth="1"/>
    <col min="16136" max="16136" width="20.7109375" style="1" bestFit="1" customWidth="1"/>
    <col min="16137" max="16137" width="15.140625" style="1" customWidth="1"/>
    <col min="16138" max="16138" width="2.7109375" style="1" customWidth="1"/>
    <col min="16139" max="16139" width="19.140625" style="1" bestFit="1" customWidth="1"/>
    <col min="16140" max="16140" width="11.42578125" style="1"/>
    <col min="16141" max="16141" width="25.85546875" style="1" customWidth="1"/>
    <col min="16142" max="16384" width="11.42578125" style="1"/>
  </cols>
  <sheetData>
    <row r="1" spans="2:9" x14ac:dyDescent="0.2">
      <c r="D1" s="2"/>
      <c r="E1" s="2"/>
      <c r="F1" s="2"/>
    </row>
    <row r="2" spans="2:9" x14ac:dyDescent="0.2">
      <c r="D2" s="2"/>
      <c r="E2" s="2"/>
      <c r="F2" s="2"/>
    </row>
    <row r="3" spans="2:9" x14ac:dyDescent="0.2">
      <c r="D3" s="2"/>
      <c r="E3" s="2"/>
      <c r="F3" s="2"/>
    </row>
    <row r="5" spans="2:9" ht="12.75" customHeight="1" x14ac:dyDescent="0.25">
      <c r="D5" s="66" t="s">
        <v>0</v>
      </c>
      <c r="E5" s="66"/>
      <c r="F5" s="66"/>
    </row>
    <row r="6" spans="2:9" ht="12.75" customHeight="1" x14ac:dyDescent="0.25">
      <c r="D6" s="66" t="s">
        <v>1</v>
      </c>
      <c r="E6" s="66"/>
      <c r="F6" s="66"/>
    </row>
    <row r="7" spans="2:9" ht="13.5" customHeight="1" x14ac:dyDescent="0.25">
      <c r="D7" s="66" t="s">
        <v>2</v>
      </c>
      <c r="E7" s="66"/>
      <c r="F7" s="66"/>
    </row>
    <row r="8" spans="2:9" ht="14.25" customHeight="1" x14ac:dyDescent="0.25">
      <c r="D8" s="3"/>
      <c r="E8" s="3"/>
      <c r="F8" s="3"/>
    </row>
    <row r="9" spans="2:9" ht="14.25" customHeight="1" x14ac:dyDescent="0.25">
      <c r="D9" s="66" t="s">
        <v>3</v>
      </c>
      <c r="E9" s="66"/>
      <c r="F9" s="66"/>
      <c r="I9" s="4"/>
    </row>
    <row r="10" spans="2:9" ht="14.25" customHeight="1" x14ac:dyDescent="0.25">
      <c r="D10" s="67" t="s">
        <v>4</v>
      </c>
      <c r="E10" s="67"/>
      <c r="F10" s="67"/>
      <c r="I10" s="4"/>
    </row>
    <row r="11" spans="2:9" ht="14.25" customHeight="1" x14ac:dyDescent="0.25">
      <c r="D11" s="5"/>
      <c r="E11" s="5"/>
      <c r="F11" s="5"/>
      <c r="I11" s="4"/>
    </row>
    <row r="12" spans="2:9" x14ac:dyDescent="0.25">
      <c r="B12" s="6"/>
      <c r="C12" s="7"/>
      <c r="I12" s="8"/>
    </row>
    <row r="13" spans="2:9" x14ac:dyDescent="0.25">
      <c r="B13" s="6" t="s">
        <v>5</v>
      </c>
      <c r="C13" s="39">
        <f>H29</f>
        <v>200000000000</v>
      </c>
      <c r="D13" s="9"/>
      <c r="I13" s="8"/>
    </row>
    <row r="14" spans="2:9" x14ac:dyDescent="0.25">
      <c r="B14" s="6"/>
      <c r="C14" s="7"/>
      <c r="D14" s="9"/>
      <c r="I14" s="8"/>
    </row>
    <row r="15" spans="2:9" x14ac:dyDescent="0.25">
      <c r="B15" s="6"/>
      <c r="C15" s="7"/>
    </row>
    <row r="16" spans="2:9" ht="18.75" x14ac:dyDescent="0.25">
      <c r="B16" s="64"/>
      <c r="C16" s="64"/>
      <c r="D16" s="64"/>
      <c r="E16" s="64"/>
      <c r="F16" s="64"/>
      <c r="G16" s="64"/>
      <c r="H16" s="64"/>
      <c r="I16" s="64"/>
    </row>
    <row r="17" spans="2:11" ht="15.75" thickBot="1" x14ac:dyDescent="0.3">
      <c r="C17" s="10"/>
      <c r="D17" s="10"/>
    </row>
    <row r="18" spans="2:11" ht="15.75" customHeight="1" x14ac:dyDescent="0.25">
      <c r="B18" s="55" t="s">
        <v>6</v>
      </c>
      <c r="C18" s="55" t="s">
        <v>7</v>
      </c>
      <c r="D18" s="55" t="s">
        <v>8</v>
      </c>
      <c r="E18" s="59" t="s">
        <v>9</v>
      </c>
      <c r="F18" s="55" t="s">
        <v>10</v>
      </c>
      <c r="G18" s="55" t="s">
        <v>11</v>
      </c>
      <c r="H18" s="52" t="s">
        <v>12</v>
      </c>
      <c r="I18" s="55" t="s">
        <v>13</v>
      </c>
      <c r="K18" s="11"/>
    </row>
    <row r="19" spans="2:11" ht="15.75" customHeight="1" x14ac:dyDescent="0.25">
      <c r="B19" s="56"/>
      <c r="C19" s="56"/>
      <c r="D19" s="56"/>
      <c r="E19" s="60"/>
      <c r="F19" s="56"/>
      <c r="G19" s="56"/>
      <c r="H19" s="53"/>
      <c r="I19" s="56"/>
    </row>
    <row r="20" spans="2:11" ht="15.75" thickBot="1" x14ac:dyDescent="0.3">
      <c r="B20" s="56"/>
      <c r="C20" s="57"/>
      <c r="D20" s="57"/>
      <c r="E20" s="61"/>
      <c r="F20" s="57"/>
      <c r="G20" s="57"/>
      <c r="H20" s="54"/>
      <c r="I20" s="57"/>
    </row>
    <row r="21" spans="2:11" ht="16.5" customHeight="1" x14ac:dyDescent="0.25">
      <c r="B21" s="62" t="s">
        <v>19</v>
      </c>
      <c r="C21" s="12">
        <v>46086</v>
      </c>
      <c r="D21" s="13">
        <v>51570</v>
      </c>
      <c r="E21" s="14">
        <v>30000000000</v>
      </c>
      <c r="F21" s="15">
        <v>134015400000</v>
      </c>
      <c r="G21" s="16">
        <f>F21/E21</f>
        <v>4.4671799999999999</v>
      </c>
      <c r="H21" s="15">
        <v>30000000000</v>
      </c>
      <c r="I21" s="17">
        <v>0.10440000000000001</v>
      </c>
    </row>
    <row r="22" spans="2:11" ht="16.5" customHeight="1" x14ac:dyDescent="0.25">
      <c r="B22" s="63"/>
      <c r="C22" s="18">
        <v>46087</v>
      </c>
      <c r="D22" s="19">
        <v>51570</v>
      </c>
      <c r="E22" s="20">
        <v>8709300000</v>
      </c>
      <c r="F22" s="21">
        <v>8709300000</v>
      </c>
      <c r="G22" s="22">
        <f>F22/E22</f>
        <v>1</v>
      </c>
      <c r="H22" s="21">
        <f>E22</f>
        <v>8709300000</v>
      </c>
      <c r="I22" s="23">
        <f>+I21</f>
        <v>0.10440000000000001</v>
      </c>
    </row>
    <row r="23" spans="2:11" x14ac:dyDescent="0.25">
      <c r="B23" s="63"/>
      <c r="C23" s="18">
        <v>46105</v>
      </c>
      <c r="D23" s="19">
        <v>51570</v>
      </c>
      <c r="E23" s="20">
        <v>30000000000</v>
      </c>
      <c r="F23" s="24">
        <v>79589200000</v>
      </c>
      <c r="G23" s="22">
        <f>F23/E23</f>
        <v>2.6529733333333332</v>
      </c>
      <c r="H23" s="21">
        <v>30000000000</v>
      </c>
      <c r="I23" s="25">
        <v>0.11645800000000001</v>
      </c>
    </row>
    <row r="24" spans="2:11" ht="15.75" thickBot="1" x14ac:dyDescent="0.3">
      <c r="B24" s="65"/>
      <c r="C24" s="18" t="s">
        <v>14</v>
      </c>
      <c r="D24" s="19">
        <v>51570</v>
      </c>
      <c r="E24" s="48">
        <v>31290700000</v>
      </c>
      <c r="F24" s="20">
        <v>31290700000</v>
      </c>
      <c r="G24" s="22">
        <f>F24/E24</f>
        <v>1</v>
      </c>
      <c r="H24" s="20">
        <v>31290700000</v>
      </c>
      <c r="I24" s="25">
        <v>0.11645800000000001</v>
      </c>
    </row>
    <row r="25" spans="2:11" ht="15" customHeight="1" x14ac:dyDescent="0.25">
      <c r="B25" s="62" t="s">
        <v>17</v>
      </c>
      <c r="C25" s="12" t="s">
        <v>15</v>
      </c>
      <c r="D25" s="13" t="s">
        <v>16</v>
      </c>
      <c r="E25" s="20">
        <v>30000000000</v>
      </c>
      <c r="F25" s="14">
        <v>72437300000</v>
      </c>
      <c r="G25" s="50">
        <f>+F25/E25</f>
        <v>2.4145766666666666</v>
      </c>
      <c r="H25" s="15">
        <v>30000000000</v>
      </c>
      <c r="I25" s="49">
        <v>0.115078</v>
      </c>
    </row>
    <row r="26" spans="2:11" ht="15" customHeight="1" x14ac:dyDescent="0.25">
      <c r="B26" s="63"/>
      <c r="C26" s="42" t="s">
        <v>18</v>
      </c>
      <c r="D26" s="43" t="s">
        <v>16</v>
      </c>
      <c r="E26" s="44">
        <v>30000000000</v>
      </c>
      <c r="F26" s="44">
        <v>30000000000</v>
      </c>
      <c r="G26" s="45">
        <f>+F26/E26</f>
        <v>1</v>
      </c>
      <c r="H26" s="46">
        <v>30000000000</v>
      </c>
      <c r="I26" s="47">
        <v>0.115078</v>
      </c>
    </row>
    <row r="27" spans="2:11" x14ac:dyDescent="0.25">
      <c r="B27" s="63"/>
      <c r="C27" s="42">
        <v>46273</v>
      </c>
      <c r="D27" s="43">
        <v>46276</v>
      </c>
      <c r="E27" s="44">
        <v>20000000000</v>
      </c>
      <c r="F27" s="44">
        <v>74118700000</v>
      </c>
      <c r="G27" s="45">
        <f>+F27/E27</f>
        <v>3.7059350000000002</v>
      </c>
      <c r="H27" s="44">
        <v>20000000000</v>
      </c>
      <c r="I27" s="47">
        <v>9.9000000000000005E-2</v>
      </c>
    </row>
    <row r="28" spans="2:11" ht="15.75" thickBot="1" x14ac:dyDescent="0.3">
      <c r="B28" s="63"/>
      <c r="C28" s="71">
        <v>46274</v>
      </c>
      <c r="D28" s="72">
        <v>46276</v>
      </c>
      <c r="E28" s="68">
        <v>20000000000</v>
      </c>
      <c r="F28" s="68">
        <v>20000000000</v>
      </c>
      <c r="G28" s="69">
        <f>+F28/E28</f>
        <v>1</v>
      </c>
      <c r="H28" s="68">
        <v>20000000000</v>
      </c>
      <c r="I28" s="70">
        <v>9.9000000000000005E-2</v>
      </c>
    </row>
    <row r="29" spans="2:11" ht="15.75" thickBot="1" x14ac:dyDescent="0.3">
      <c r="B29" s="40"/>
      <c r="C29" s="18"/>
      <c r="D29" s="19"/>
      <c r="E29" s="27">
        <f>+SUM(E21:E28)</f>
        <v>200000000000</v>
      </c>
      <c r="F29" s="27">
        <f>+SUM(F21:F28)</f>
        <v>450160600000</v>
      </c>
      <c r="G29" s="28"/>
      <c r="H29" s="29">
        <f>+SUM(H21:H28)</f>
        <v>200000000000</v>
      </c>
      <c r="I29" s="26"/>
    </row>
    <row r="30" spans="2:11" ht="15.75" thickTop="1" x14ac:dyDescent="0.25">
      <c r="B30" s="40"/>
      <c r="C30" s="30"/>
      <c r="D30" s="31"/>
      <c r="E30" s="27"/>
      <c r="F30" s="27"/>
      <c r="G30" s="28"/>
      <c r="H30" s="27">
        <f>200000000000-H29</f>
        <v>0</v>
      </c>
      <c r="I30" s="32"/>
    </row>
    <row r="31" spans="2:11" ht="15.75" thickBot="1" x14ac:dyDescent="0.3">
      <c r="B31" s="41"/>
      <c r="C31" s="33"/>
      <c r="D31" s="34"/>
      <c r="E31" s="34"/>
      <c r="F31" s="34"/>
      <c r="G31" s="34"/>
      <c r="H31" s="34"/>
      <c r="I31" s="35"/>
    </row>
    <row r="32" spans="2:11" x14ac:dyDescent="0.25">
      <c r="B32" s="36"/>
      <c r="H32" s="37"/>
    </row>
    <row r="33" spans="2:13" x14ac:dyDescent="0.25">
      <c r="B33" s="36"/>
    </row>
    <row r="34" spans="2:13" x14ac:dyDescent="0.25">
      <c r="B34" s="36"/>
      <c r="C34" s="19"/>
      <c r="D34" s="19"/>
      <c r="E34" s="20"/>
      <c r="F34" s="20"/>
      <c r="G34" s="22"/>
      <c r="H34" s="20"/>
      <c r="I34" s="38"/>
    </row>
    <row r="35" spans="2:13" x14ac:dyDescent="0.25">
      <c r="B35" s="58"/>
      <c r="C35" s="19"/>
      <c r="D35" s="19"/>
      <c r="E35" s="20"/>
      <c r="F35" s="20"/>
      <c r="G35" s="22"/>
      <c r="H35" s="20"/>
      <c r="I35" s="38"/>
    </row>
    <row r="36" spans="2:13" x14ac:dyDescent="0.25">
      <c r="B36" s="58"/>
      <c r="C36" s="19"/>
      <c r="D36" s="19"/>
      <c r="E36" s="20"/>
      <c r="F36" s="20"/>
      <c r="G36" s="22"/>
      <c r="H36" s="20"/>
      <c r="I36" s="38"/>
    </row>
    <row r="37" spans="2:13" x14ac:dyDescent="0.25">
      <c r="B37" s="58"/>
      <c r="C37" s="19"/>
      <c r="D37" s="19"/>
      <c r="E37" s="20"/>
      <c r="F37" s="20"/>
      <c r="G37" s="22"/>
      <c r="H37" s="20"/>
      <c r="I37" s="38"/>
    </row>
    <row r="38" spans="2:13" x14ac:dyDescent="0.2">
      <c r="B38" s="58"/>
      <c r="G38" s="22"/>
      <c r="K38" s="2"/>
      <c r="L38" s="2"/>
      <c r="M38" s="2"/>
    </row>
    <row r="39" spans="2:13" x14ac:dyDescent="0.2">
      <c r="B39" s="58"/>
      <c r="E39" s="27"/>
      <c r="F39" s="27"/>
      <c r="G39" s="27"/>
      <c r="H39" s="37"/>
      <c r="K39" s="2"/>
      <c r="L39" s="2"/>
      <c r="M39" s="2"/>
    </row>
    <row r="40" spans="2:13" ht="15" customHeight="1" x14ac:dyDescent="0.2">
      <c r="B40" s="58"/>
      <c r="H40" s="37"/>
      <c r="K40" s="2"/>
      <c r="L40" s="2"/>
      <c r="M40" s="2"/>
    </row>
    <row r="41" spans="2:13" x14ac:dyDescent="0.25">
      <c r="B41" s="58"/>
    </row>
    <row r="42" spans="2:13" ht="21" x14ac:dyDescent="0.35">
      <c r="B42" s="58"/>
      <c r="K42" s="51"/>
      <c r="L42" s="51"/>
      <c r="M42" s="51"/>
    </row>
    <row r="43" spans="2:13" ht="21" x14ac:dyDescent="0.35">
      <c r="K43" s="51"/>
      <c r="L43" s="51"/>
      <c r="M43" s="51"/>
    </row>
    <row r="44" spans="2:13" ht="21" x14ac:dyDescent="0.35">
      <c r="K44" s="51"/>
      <c r="L44" s="51"/>
      <c r="M44" s="51"/>
    </row>
    <row r="48" spans="2:13" ht="15" customHeight="1" x14ac:dyDescent="0.25"/>
    <row r="49" ht="15" customHeight="1" x14ac:dyDescent="0.25"/>
    <row r="50" ht="15" customHeight="1" x14ac:dyDescent="0.25"/>
  </sheetData>
  <mergeCells count="20">
    <mergeCell ref="B16:I16"/>
    <mergeCell ref="B21:B24"/>
    <mergeCell ref="D5:F5"/>
    <mergeCell ref="D6:F6"/>
    <mergeCell ref="D7:F7"/>
    <mergeCell ref="D9:F9"/>
    <mergeCell ref="D10:F10"/>
    <mergeCell ref="K44:M44"/>
    <mergeCell ref="H18:H20"/>
    <mergeCell ref="I18:I20"/>
    <mergeCell ref="B35:B42"/>
    <mergeCell ref="K42:M42"/>
    <mergeCell ref="K43:M43"/>
    <mergeCell ref="B18:B20"/>
    <mergeCell ref="C18:C20"/>
    <mergeCell ref="D18:D20"/>
    <mergeCell ref="E18:E20"/>
    <mergeCell ref="F18:F20"/>
    <mergeCell ref="G18:G20"/>
    <mergeCell ref="B25:B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Maria Reyes Severino</dc:creator>
  <cp:lastModifiedBy>Dominican Republic</cp:lastModifiedBy>
  <dcterms:created xsi:type="dcterms:W3CDTF">2026-05-27T15:45:21Z</dcterms:created>
  <dcterms:modified xsi:type="dcterms:W3CDTF">2026-09-09T12:11:21Z</dcterms:modified>
</cp:coreProperties>
</file>