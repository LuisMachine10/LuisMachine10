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HORARIO" sheetId="2" state="visible" r:id="rId4"/>
    <sheet name="LITURGICO" sheetId="3" state="visible" r:id="rId5"/>
    <sheet name="NUTRICION" sheetId="4" state="visible" r:id="rId6"/>
    <sheet name="ALIMENTOS" sheetId="5" state="visible" r:id="rId7"/>
    <sheet name="MENUS" sheetId="6" state="visible" r:id="rId8"/>
    <sheet name="GYM" sheetId="7" state="visible" r:id="rId9"/>
    <sheet name="PROGRESION" sheetId="8" state="visible" r:id="rId10"/>
    <sheet name="BITACORA" sheetId="9" state="visible" r:id="rId11"/>
    <sheet name="DASHBOARD" sheetId="10" state="visible" r:id="rId12"/>
    <sheet name="PESO"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<sst xmlns="http://schemas.openxmlformats.org/spreadsheetml/2006/main" count="1612" uniqueCount="879">
  <si>
    <t xml:space="preserve">SISTEMA MENA v2.0 — DISCIPLINA, CUERPO, ESTUDIO Y VIDA ESPIRITUAL</t>
  </si>
  <si>
    <t xml:space="preserve">Versión</t>
  </si>
  <si>
    <t xml:space="preserve">v2.0 — 3 de septiembre de 2026 (PR reales, restricciones articulares, protocolo de suplementos)</t>
  </si>
  <si>
    <t xml:space="preserve">Construido a partir de</t>
  </si>
  <si>
    <t xml:space="preserve">Tu calendario real de Google (Sep 2026), el InBody del 12/05/2025 y el plan del Nut. Diego A. Espaillat Alejo.</t>
  </si>
  <si>
    <t xml:space="preserve">CÓMO USAR ESTE LIBRO</t>
  </si>
  <si>
    <t xml:space="preserve">HORARIO</t>
  </si>
  <si>
    <t xml:space="preserve">Tu semana bloque por bloque, ya cuadrada contra tu calendario real (Body Shop, FINTEL, Centro Español, PUCMM, Church SMP).</t>
  </si>
  <si>
    <t xml:space="preserve">LITURGICO</t>
  </si>
  <si>
    <t xml:space="preserve">Tus compromisos espirituales fijos y rotativos, y qué hacer cuando chocan con entrenamiento.</t>
  </si>
  <si>
    <t xml:space="preserve">NUTRICION</t>
  </si>
  <si>
    <t xml:space="preserve">Panel de cálculo: peso, TMB, TDEE, déficit y metas de macros. Las celdas AZULES son las únicas que editas.</t>
  </si>
  <si>
    <t xml:space="preserve">ALIMENTOS</t>
  </si>
  <si>
    <t xml:space="preserve">Tabla de referencia por 100 g de tus alimentos habituales + el peso en gramos de cada medida casera.</t>
  </si>
  <si>
    <t xml:space="preserve">MENUS</t>
  </si>
  <si>
    <t xml:space="preserve">Tres días modelo (Entreno / Ligero / Ayuno) con gramos exactos. Los totales se calculan solos desde ALIMENTOS.</t>
  </si>
  <si>
    <t xml:space="preserve">GYM</t>
  </si>
  <si>
    <t xml:space="preserve">Tu split de 4 días con series, repeticiones, RPE y descansos. Columna de carga vacía para que la llenes.</t>
  </si>
  <si>
    <t xml:space="preserve">BITACORA</t>
  </si>
  <si>
    <t xml:space="preserve">Registro diario. Solo llenas las celdas azules. El puntaje se calcula solo.</t>
  </si>
  <si>
    <t xml:space="preserve">DASHBOARD</t>
  </si>
  <si>
    <t xml:space="preserve">Estado de resultados de tu disciplina: qué renglón te está generando 'utilidad' y cuál te la está destruyendo.</t>
  </si>
  <si>
    <t xml:space="preserve">PESO</t>
  </si>
  <si>
    <t xml:space="preserve">Peso, cintura y % de grasa con media móvil de 4 registros para leer la tendencia, no el ruido.</t>
  </si>
  <si>
    <t xml:space="preserve">LAS 6 DECISIONES QUE TOMÉ POR TI (y por qué)</t>
  </si>
  <si>
    <t xml:space="preserve">1. El ayuno va el VIERNES</t>
  </si>
  <si>
    <t xml:space="preserve">Es el día penitencial católico por excelencia, coincide con tus primeros viernes en el Sagrado Corazón, y — clave — lo convertí en día SIN pesas. Ayunar 24h y meter piernas el mismo día es cómo se pierde fuerza en un corte.</t>
  </si>
  <si>
    <t xml:space="preserve">2. Piernas se mueve al JUEVES</t>
  </si>
  <si>
    <t xml:space="preserve">Tu calendario tiene gym Lu/Ma/Ju/Vi. Moví el bloque del viernes al MIÉRCOLES y dejé piernas el jueves. Así el viernes (ayuno) es descanso real y el sábado llegas fresco al baloncesto de PUCMM.</t>
  </si>
  <si>
    <t xml:space="preserve">3. Tu horario no cerraba</t>
  </si>
  <si>
    <t xml:space="preserve">Pediste levantarte 5:00, gym 5:00-6:40, MÁS 50 pechadas, 25-50 dominadas y correr 30-40 min por la mañana. Eso no cabe en 100 minutos. Las pechadas y dominadas quedan como calentamiento/finisher dentro del gym; el correr queda en el bloque de cardio post-fuerza y el sábado.</t>
  </si>
  <si>
    <t xml:space="preserve">4. Sueño: 5:00 + 11:00 PM = 6h</t>
  </si>
  <si>
    <t xml:space="preserve">Dijiste que prefieres 7h. No es posible con esos dos anclajes. Adelanté tu bloque CFI-FMVA a 19:45-21:45 y puse luces fuera 22:30 → 6.5h entre semana y 7-7.5h Vi/Sá/Do. Si quieres 7h fijas, hay que mover el despertar a 5:15.</t>
  </si>
  <si>
    <t xml:space="preserve">5. Baloncesto los lunes: 3 de 4</t>
  </si>
  <si>
    <t xml:space="preserve">Todos los lunes te cuesta 1h de estudio semanal y te deja durmiendo ~6h. Recomendación: 3 lunes al mes, y el 4º lunes libre lo usas para recuperar estudio. Está marcado así en HORARIO.</t>
  </si>
  <si>
    <t xml:space="preserve">6. Proteína por encima de lo que pediste</t>
  </si>
  <si>
    <t xml:space="preserve">Pediste 150-200 g. En déficit y con este volumen, la meta calculada sale ~190 g. En días de entreno los menús llegan a ~215 g, que es exactamente lo que protege el músculo cuando se corta.</t>
  </si>
  <si>
    <t xml:space="preserve">LO QUE CAMBIÓ EN LA v2.0</t>
  </si>
  <si>
    <t xml:space="preserve">Alcohol: eliminado</t>
  </si>
  <si>
    <t xml:space="preserve">Fuera del libro. No se vuelve a mencionar.</t>
  </si>
  <si>
    <t xml:space="preserve">CoQ10 500 mg: agregado</t>
  </si>
  <si>
    <t xml:space="preserve">Está en el bloque de suplementos de NUTRICION y en el check diario de la BITACORA.</t>
  </si>
  <si>
    <t xml:space="preserve">Se eliminó TODA la sentadilla y TODA la pliometría</t>
  </si>
  <si>
    <t xml:space="preserve">Herniaciones discales + meniscos deteriorados. El bloque de saltos que tenía la v1.0 (saltos al cajón, salto amplio, skaters) era exactamente lo contrario de lo que tu rodilla necesita. Reemplazado por prensa, empuje de cadera y trabajo de máquina — donde tú ya mueves 800 lb sin problema.</t>
  </si>
  <si>
    <t xml:space="preserve">Se eliminó toda flexión lumbar cargada</t>
  </si>
  <si>
    <t xml:space="preserve">Fuera: rueda abdominal, crunch en polea, leñador en polea, remo con barra inclinado. Entraron: press Pallof, dead bug, bird dog, paseo maleta y remo con pecho apoyado. Mismo estímulo, sin cargar el disco en flexión.</t>
  </si>
  <si>
    <t xml:space="preserve">Progresión con tus números reales</t>
  </si>
  <si>
    <t xml:space="preserve">Nueva hoja PROGRESION con 12 semanas de cargas concretas calculadas desde tus PR, no rangos genéricos.</t>
  </si>
  <si>
    <t xml:space="preserve">DOS CONVERSACIONES MÉDICAS QUE NO PUEDO TENER YO</t>
  </si>
  <si>
    <t xml:space="preserve">La rosuvastatina — esto es lo más importante de este archivo</t>
  </si>
  <si>
    <t xml:space="preserve">Vas a dejar un medicamento que tomas desde los 18 años. Un estatina a esa edad casi nunca es rutina: normalmente responde a hipercolesterolemia familiar o a una dislipidemia significativa. Y hay algo que necesitas saber con precisión: el CoQ10 NO baja el LDL. El CoQ10 sirve para los síntomas musculares que causan las estatinas, no sustituye su efecto sobre el colesterol. Si dejas la rosuvastatina y tomas CoQ10, tu LDL queda sin tratamiento.</t>
  </si>
  <si>
    <t xml:space="preserve">Cómo convertir eso en un experimento y no en una apuesta</t>
  </si>
  <si>
    <t xml:space="preserve">Tú eres analista: no cerrarías una posición sin medir. Haz esto — (1) Perfil lipídico + ALT/AST ESTA SEMANA, antes de cambiar nada. Ese es tu dato base. (2) Dile al médico que lo prescribió que lo vas a intentar por dieta y ejercicio, para que él decida el intervalo de control. Dejarlo en silencio te quita la única red de seguridad que tienes. (3) Repite el panel a las 12 semanas. Si el LDL baja a rango, tienes evidencia para defender tu decisión ante él. Si no baja, lo sabes a tiempo. Agregué las filas de seguimiento en la hoja PESO.</t>
  </si>
  <si>
    <t xml:space="preserve">El ayuno de 24 horas</t>
  </si>
  <si>
    <t xml:space="preserve">Práctica legítima y antigua. Aun así, con las notas hepáticas y de ansiedad de tu plan nutricional, coméntaselo a tu nutriólogo antes de la primera semana. Regla no negociable: agua y electrolitos todo el día; si aparece mareo, temblor, visión borrosa o taquicardia, se rompe y ya.</t>
  </si>
  <si>
    <t xml:space="preserve">Peso muerto con hernias discales</t>
  </si>
  <si>
    <t xml:space="preserve">Sigues en 315x3, así que asumo que ya es parte de tu práctica. Aun así lo bajé a peso muerto rumano con barra hexagonal o mancuernas y lo marqué como CONDICIONAL en la hoja GYM. El empuje de cadera quedó como movimiento principal de cadena posterior porque carga el glúteo sin comprimir la columna. Si tu médico te autoriza el convencional, súbelo de nuevo.</t>
  </si>
  <si>
    <t xml:space="preserve">LA REGLA DE ORO</t>
  </si>
  <si>
    <t xml:space="preserve">Adherencia &gt; perfección</t>
  </si>
  <si>
    <t xml:space="preserve">Un 80% sostenido 12 semanas te lleva mucho más lejos que un 100% sostenido 9 días. El DASHBOARD está diseñado para que veas el promedio, no el día suelto.</t>
  </si>
  <si>
    <t xml:space="preserve">HORARIO SEMANAL — cuadrado contra tu calendario real</t>
  </si>
  <si>
    <t xml:space="preserve">Despertar 5:00 · Luces fuera 22:30 (Lu-Ju) / 23:00 (Vi-Do) · Trabajo FINTEL 8:30-12:30 y 14:00-17:15 · Gym Body Shop</t>
  </si>
  <si>
    <t xml:space="preserve">LUNES</t>
  </si>
  <si>
    <t xml:space="preserve">DÍA 1 — Pecho / Tríceps / Antebrazo / Abs</t>
  </si>
  <si>
    <t xml:space="preserve">Hora</t>
  </si>
  <si>
    <t xml:space="preserve">Actividad</t>
  </si>
  <si>
    <t xml:space="preserve">Detalle</t>
  </si>
  <si>
    <t xml:space="preserve">Bloque</t>
  </si>
  <si>
    <t xml:space="preserve">05:00</t>
  </si>
  <si>
    <t xml:space="preserve">Despertar</t>
  </si>
  <si>
    <t xml:space="preserve">500 ml agua + 5 g creatina + electrolito sin calorías</t>
  </si>
  <si>
    <t xml:space="preserve">Bloque 1: arranque</t>
  </si>
  <si>
    <t xml:space="preserve">05:05</t>
  </si>
  <si>
    <t xml:space="preserve">Cama + bulto</t>
  </si>
  <si>
    <t xml:space="preserve">Cama tendida. El bulto se prepara la NOCHE anterior; aquí solo lo verificas.</t>
  </si>
  <si>
    <t xml:space="preserve">05:10</t>
  </si>
  <si>
    <t xml:space="preserve">Briefing de mercado</t>
  </si>
  <si>
    <t xml:space="preserve">10 min: cierre asiático, futuros US, DXY, WTI, oro, noticias BCRD. Lo lees, no lo estudias.</t>
  </si>
  <si>
    <t xml:space="preserve">05:25</t>
  </si>
  <si>
    <t xml:space="preserve">Salida a Body Shop</t>
  </si>
  <si>
    <t xml:space="preserve">05:35</t>
  </si>
  <si>
    <t xml:space="preserve">GYM — Día 1</t>
  </si>
  <si>
    <t xml:space="preserve">55 min fuerza + 15 min cardio Z2 (ver hoja GYM)</t>
  </si>
  <si>
    <t xml:space="preserve">Bloque 2: cuerpo</t>
  </si>
  <si>
    <t xml:space="preserve">06:50</t>
  </si>
  <si>
    <t xml:space="preserve">Regreso a casa</t>
  </si>
  <si>
    <t xml:space="preserve">07:00</t>
  </si>
  <si>
    <t xml:space="preserve">Baño + desayuno</t>
  </si>
  <si>
    <t xml:space="preserve">Desayuno post-entreno del menú (día ENTRENO)</t>
  </si>
  <si>
    <t xml:space="preserve">07:45</t>
  </si>
  <si>
    <t xml:space="preserve">Salida al trabajo</t>
  </si>
  <si>
    <t xml:space="preserve">08:00</t>
  </si>
  <si>
    <t xml:space="preserve">Pre-Market Analysis</t>
  </si>
  <si>
    <t xml:space="preserve">Ya en tu calendario</t>
  </si>
  <si>
    <t xml:space="preserve">Bloque 3: trabajo</t>
  </si>
  <si>
    <t xml:space="preserve">08:30</t>
  </si>
  <si>
    <t xml:space="preserve">Trabajo — Bloque 1</t>
  </si>
  <si>
    <t xml:space="preserve">FINTEL</t>
  </si>
  <si>
    <t xml:space="preserve">12:30</t>
  </si>
  <si>
    <t xml:space="preserve">Almuerzo</t>
  </si>
  <si>
    <t xml:space="preserve">Comida principal del día. Pesar antes de servir.</t>
  </si>
  <si>
    <t xml:space="preserve">14:00</t>
  </si>
  <si>
    <t xml:space="preserve">Trabajo — Bloque 2</t>
  </si>
  <si>
    <t xml:space="preserve">16:55</t>
  </si>
  <si>
    <t xml:space="preserve">ROSARIO</t>
  </si>
  <si>
    <t xml:space="preserve">20 min antes de salir. Es un bloque, no un hueco.</t>
  </si>
  <si>
    <t xml:space="preserve">Bloque 4: alma</t>
  </si>
  <si>
    <t xml:space="preserve">17:20</t>
  </si>
  <si>
    <t xml:space="preserve">Merienda</t>
  </si>
  <si>
    <t xml:space="preserve">Whey + pan integral + fruta</t>
  </si>
  <si>
    <t xml:space="preserve">19:00</t>
  </si>
  <si>
    <t xml:space="preserve">BALONCESTO</t>
  </si>
  <si>
    <t xml:space="preserve">3 lunes al mes. El 4º lunes: estudio 19:45-21:45 y a dormir temprano.</t>
  </si>
  <si>
    <t xml:space="preserve">Bloque 5: PM</t>
  </si>
  <si>
    <t xml:space="preserve">21:15</t>
  </si>
  <si>
    <t xml:space="preserve">Cena</t>
  </si>
  <si>
    <t xml:space="preserve">Menú día ENTRENO</t>
  </si>
  <si>
    <t xml:space="preserve">21:45</t>
  </si>
  <si>
    <t xml:space="preserve">Estudio CFI-FMVA</t>
  </si>
  <si>
    <t xml:space="preserve">1h (día corto por baloncesto). Se compensa el domingo.</t>
  </si>
  <si>
    <t xml:space="preserve">22:45</t>
  </si>
  <si>
    <t xml:space="preserve">Lectura 15 min + oración de la noche</t>
  </si>
  <si>
    <t xml:space="preserve">23:00</t>
  </si>
  <si>
    <t xml:space="preserve">Dormir</t>
  </si>
  <si>
    <t xml:space="preserve">≈6h. Es el día más corto de la semana, por diseño.</t>
  </si>
  <si>
    <t xml:space="preserve">MARTES</t>
  </si>
  <si>
    <t xml:space="preserve">DÍA 2 — Espalda / Bíceps / Deltoide posterior / Abs</t>
  </si>
  <si>
    <t xml:space="preserve">Agua + creatina + electrolito</t>
  </si>
  <si>
    <t xml:space="preserve">Bloque 1</t>
  </si>
  <si>
    <t xml:space="preserve">10 min</t>
  </si>
  <si>
    <t xml:space="preserve">GYM — Día 2</t>
  </si>
  <si>
    <t xml:space="preserve">55 min fuerza + 15 min cardio</t>
  </si>
  <si>
    <t xml:space="preserve">Bloque 2</t>
  </si>
  <si>
    <t xml:space="preserve">Bloque 3</t>
  </si>
  <si>
    <t xml:space="preserve">20 min</t>
  </si>
  <si>
    <t xml:space="preserve">Bloque 4</t>
  </si>
  <si>
    <t xml:space="preserve">18:30</t>
  </si>
  <si>
    <t xml:space="preserve">MISA — Church SMP</t>
  </si>
  <si>
    <t xml:space="preserve">Ya en tu calendario. Martes es misa fija.</t>
  </si>
  <si>
    <t xml:space="preserve">19:35</t>
  </si>
  <si>
    <t xml:space="preserve">Bloque 5</t>
  </si>
  <si>
    <t xml:space="preserve">19:50</t>
  </si>
  <si>
    <t xml:space="preserve">Estudio CFI-FMVA / SIMV</t>
  </si>
  <si>
    <t xml:space="preserve">2h</t>
  </si>
  <si>
    <t xml:space="preserve">21:50</t>
  </si>
  <si>
    <t xml:space="preserve">Lectura 20 min</t>
  </si>
  <si>
    <t xml:space="preserve">22:15</t>
  </si>
  <si>
    <t xml:space="preserve">Baño + preparar bulto + oración de la noche</t>
  </si>
  <si>
    <t xml:space="preserve">22:30</t>
  </si>
  <si>
    <t xml:space="preserve">≈6.5h</t>
  </si>
  <si>
    <t xml:space="preserve">MIÉRCOLES</t>
  </si>
  <si>
    <t xml:space="preserve">DÍA 3 — Pecho + Espalda / Hombro / Abs (superseries)</t>
  </si>
  <si>
    <t xml:space="preserve">GYM — Día 3</t>
  </si>
  <si>
    <t xml:space="preserve">Sesión más corta (50 min). El cardio de hoy es softball + natación.</t>
  </si>
  <si>
    <t xml:space="preserve">20 min (miércoles no hay misa vespertina)</t>
  </si>
  <si>
    <t xml:space="preserve">17:30</t>
  </si>
  <si>
    <t xml:space="preserve">SOFTBALL — Centro Español</t>
  </si>
  <si>
    <t xml:space="preserve">Swing abierto. Ya en tu calendario.</t>
  </si>
  <si>
    <t xml:space="preserve">18:50</t>
  </si>
  <si>
    <t xml:space="preserve">NATACIÓN — Centro Español</t>
  </si>
  <si>
    <t xml:space="preserve">30 min. Cierra 9 PM, tienes margen.</t>
  </si>
  <si>
    <t xml:space="preserve">19:40</t>
  </si>
  <si>
    <t xml:space="preserve">20:00</t>
  </si>
  <si>
    <t xml:space="preserve">22:00</t>
  </si>
  <si>
    <t xml:space="preserve">Lectura 20 min + oración de la noche</t>
  </si>
  <si>
    <t xml:space="preserve">JUEVES</t>
  </si>
  <si>
    <t xml:space="preserve">DÍA 4 — PIERNAS COMPLETO (pliometría + fuerza)</t>
  </si>
  <si>
    <t xml:space="preserve">GYM — Día 4 PIERNAS</t>
  </si>
  <si>
    <t xml:space="preserve">15 min movilidad/pliometría + 50 min fuerza. Cardio de hoy: caminata inclinada 15 min, NO correr.</t>
  </si>
  <si>
    <t xml:space="preserve">07:05</t>
  </si>
  <si>
    <t xml:space="preserve">Día de mayor carga de carbohidratos de la semana.</t>
  </si>
  <si>
    <t xml:space="preserve">2º jueves del mes: Adora y Confía, Centro Bellarmino (verificar hora).</t>
  </si>
  <si>
    <t xml:space="preserve">Menú día ENTRENO. Última comida antes del ayuno del viernes.</t>
  </si>
  <si>
    <t xml:space="preserve">VIERNES</t>
  </si>
  <si>
    <t xml:space="preserve">AYUNO + DESCANSO — sin pesas</t>
  </si>
  <si>
    <t xml:space="preserve">Solo agua + electrolito sin calorías. Sin creatina hoy (se retoma sábado).</t>
  </si>
  <si>
    <t xml:space="preserve">05:30</t>
  </si>
  <si>
    <t xml:space="preserve">Caminata 40-50 min</t>
  </si>
  <si>
    <t xml:space="preserve">Zona 2, conversacional. Puedes rezar el rosario aquí y liberar la tarde.</t>
  </si>
  <si>
    <t xml:space="preserve">06:40</t>
  </si>
  <si>
    <t xml:space="preserve">Baño</t>
  </si>
  <si>
    <t xml:space="preserve">Sin desayuno. Café negro permitido.</t>
  </si>
  <si>
    <t xml:space="preserve">FINTEL. Ten 2 L de agua en el escritorio, visibles.</t>
  </si>
  <si>
    <t xml:space="preserve">Hora de comida = hora de oración</t>
  </si>
  <si>
    <t xml:space="preserve">No comes. Usa los 30 min para lectura espiritual y sal a caminar.</t>
  </si>
  <si>
    <t xml:space="preserve">1er viernes: Sagrado Corazón, noviciado jesuita.</t>
  </si>
  <si>
    <t xml:space="preserve">19:45</t>
  </si>
  <si>
    <t xml:space="preserve">CENA DE RUPTURA</t>
  </si>
  <si>
    <t xml:space="preserve">≈24h desde la cena del jueves. Comida normal, NO atracón: proteína + almidón + vegetales.</t>
  </si>
  <si>
    <t xml:space="preserve">20:15</t>
  </si>
  <si>
    <t xml:space="preserve">Lectura + oración de la noche</t>
  </si>
  <si>
    <t xml:space="preserve">≈7h. Día de mayor recuperación.</t>
  </si>
  <si>
    <t xml:space="preserve">SÁBADO</t>
  </si>
  <si>
    <t xml:space="preserve">CARDIO + BALONCESTO</t>
  </si>
  <si>
    <t xml:space="preserve">06:30</t>
  </si>
  <si>
    <t xml:space="preserve">Agua + creatina</t>
  </si>
  <si>
    <t xml:space="preserve">Cama + revisión semanal</t>
  </si>
  <si>
    <t xml:space="preserve">15 min: pesarte, cerrar la BITACORA de la semana, mirar el DASHBOARD.</t>
  </si>
  <si>
    <t xml:space="preserve">Desayuno</t>
  </si>
  <si>
    <t xml:space="preserve">Carrera 40-50 min</t>
  </si>
  <si>
    <t xml:space="preserve">El día que sí corres largo. Zona 2.</t>
  </si>
  <si>
    <t xml:space="preserve">09:00</t>
  </si>
  <si>
    <t xml:space="preserve">Compras de la semana</t>
  </si>
  <si>
    <t xml:space="preserve">Lista de ALIMENTOS. Ir con lista, no improvisar.</t>
  </si>
  <si>
    <t xml:space="preserve">11:00</t>
  </si>
  <si>
    <t xml:space="preserve">Estudio SIMV</t>
  </si>
  <si>
    <t xml:space="preserve">1-2h. Corredor de Valores tiene prioridad los fines de semana.</t>
  </si>
  <si>
    <t xml:space="preserve">13:00</t>
  </si>
  <si>
    <t xml:space="preserve">Menú día LIGERO</t>
  </si>
  <si>
    <t xml:space="preserve">16:00</t>
  </si>
  <si>
    <t xml:space="preserve">BALONCESTO — PUCMM</t>
  </si>
  <si>
    <t xml:space="preserve">MISA</t>
  </si>
  <si>
    <t xml:space="preserve">Church SMP 18:30. 2º sábado: San Ramón 19:00. 3er sábado: San Ramón, Jóvenes en Cristo.</t>
  </si>
  <si>
    <t xml:space="preserve">21:00</t>
  </si>
  <si>
    <t xml:space="preserve">Tiempo libre / social</t>
  </si>
  <si>
    <t xml:space="preserve">Este bloque es a propósito. Un plan sin respiro no dura 12 semanas.</t>
  </si>
  <si>
    <t xml:space="preserve">≈7.5h</t>
  </si>
  <si>
    <t xml:space="preserve">DOMINGO</t>
  </si>
  <si>
    <t xml:space="preserve">DESCANSO TOTAL — logística y estudio</t>
  </si>
  <si>
    <t xml:space="preserve">Sin alarma agresiva. Agua + creatina.</t>
  </si>
  <si>
    <t xml:space="preserve">07:30</t>
  </si>
  <si>
    <t xml:space="preserve">Lavado de ropa y sábanas</t>
  </si>
  <si>
    <t xml:space="preserve">Poner la lavadora antes de misa; tender al regreso.</t>
  </si>
  <si>
    <t xml:space="preserve">10:30</t>
  </si>
  <si>
    <t xml:space="preserve">10:30 AM o 12:00 M. 3er domingo: San Martín 10:00 AM.</t>
  </si>
  <si>
    <t xml:space="preserve">Almuerzo familiar</t>
  </si>
  <si>
    <t xml:space="preserve">Día flexible: si hay comida en familia, disfrútala y ajusta la cena.</t>
  </si>
  <si>
    <t xml:space="preserve">14:30</t>
  </si>
  <si>
    <t xml:space="preserve">MEAL PREP</t>
  </si>
  <si>
    <t xml:space="preserve">2h. Cocinar pollo, arroz, batata y vegetales para Lu-Mi. Pesar y guardar en porciones.</t>
  </si>
  <si>
    <t xml:space="preserve">16:30</t>
  </si>
  <si>
    <t xml:space="preserve">Estudio CFI-FMVA + SIMV</t>
  </si>
  <si>
    <t xml:space="preserve">3h. Es el bloque más largo de la semana: aquí recuperas lo que el lunes te quita.</t>
  </si>
  <si>
    <t xml:space="preserve">19:30</t>
  </si>
  <si>
    <t xml:space="preserve">20:30</t>
  </si>
  <si>
    <t xml:space="preserve">Planificación de la semana</t>
  </si>
  <si>
    <t xml:space="preserve">30 min: llenar tipos de día en BITACORA, revisar calendario litúrgico del mes, preparar bulto del lunes.</t>
  </si>
  <si>
    <t xml:space="preserve">21:30</t>
  </si>
  <si>
    <t xml:space="preserve">Lectura</t>
  </si>
  <si>
    <t xml:space="preserve">Aquí va el libro que quieres terminar, no el que quieres empezar.</t>
  </si>
  <si>
    <t xml:space="preserve">≈6h antes del lunes 5:00. Considera 22:30.</t>
  </si>
  <si>
    <t xml:space="preserve">CALENDARIO LITÚRGICO Y ESPIRITUAL</t>
  </si>
  <si>
    <t xml:space="preserve">Frecuencia</t>
  </si>
  <si>
    <t xml:space="preserve">Día / Hora</t>
  </si>
  <si>
    <t xml:space="preserve">Lugar</t>
  </si>
  <si>
    <t xml:space="preserve">Nota operativa</t>
  </si>
  <si>
    <t xml:space="preserve">Diario</t>
  </si>
  <si>
    <t xml:space="preserve">16:55 (antes de salir)</t>
  </si>
  <si>
    <t xml:space="preserve">Trabajo / camino</t>
  </si>
  <si>
    <t xml:space="preserve">Rosario. Los viernes puedes rezarlo durante la caminata de la mañana.</t>
  </si>
  <si>
    <t xml:space="preserve">22:15-23:00</t>
  </si>
  <si>
    <t xml:space="preserve">Casa</t>
  </si>
  <si>
    <t xml:space="preserve">Oración de la noche antes de acostarte. Examen del día: qué se cumplió y qué no.</t>
  </si>
  <si>
    <t xml:space="preserve">Lunes, Jueves, Viernes</t>
  </si>
  <si>
    <t xml:space="preserve">18:30-19:30</t>
  </si>
  <si>
    <t xml:space="preserve">Church SMP</t>
  </si>
  <si>
    <t xml:space="preserve">Misa. Ya en tu calendario. Los lunes de baloncesto, se sustituye por misa dominical reforzada.</t>
  </si>
  <si>
    <t xml:space="preserve">Cada MARTES</t>
  </si>
  <si>
    <t xml:space="preserve">Misa fija de martes. Innegociable — es el ancla de tu semana.</t>
  </si>
  <si>
    <t xml:space="preserve">Cada SÁBADO</t>
  </si>
  <si>
    <t xml:space="preserve">Parroquia</t>
  </si>
  <si>
    <t xml:space="preserve">Misa vespertina. Cumple el precepto dominical.</t>
  </si>
  <si>
    <t xml:space="preserve">Cada DOMINGO</t>
  </si>
  <si>
    <t xml:space="preserve">10:30 AM o 12:00 M</t>
  </si>
  <si>
    <t xml:space="preserve">Si fuiste el sábado, el domingo queda libre para meal prep y estudio.</t>
  </si>
  <si>
    <t xml:space="preserve">1er VIERNES del mes</t>
  </si>
  <si>
    <t xml:space="preserve">Tarde/noche</t>
  </si>
  <si>
    <t xml:space="preserve">Sagrado Corazón — Noviciado jesuita</t>
  </si>
  <si>
    <t xml:space="preserve">Coincide con tu día de ayuno. Es la combinación ideal: penitencia + devoción.</t>
  </si>
  <si>
    <t xml:space="preserve">2º JUEVES del mes</t>
  </si>
  <si>
    <t xml:space="preserve">Por confirmar</t>
  </si>
  <si>
    <t xml:space="preserve">Centro Bellarmino</t>
  </si>
  <si>
    <t xml:space="preserve">Adora y Confía. Sustituye la misa de Church SMP ese jueves.</t>
  </si>
  <si>
    <t xml:space="preserve">2º SÁBADO del mes</t>
  </si>
  <si>
    <t xml:space="preserve">San Ramón</t>
  </si>
  <si>
    <t xml:space="preserve">Misa.</t>
  </si>
  <si>
    <t xml:space="preserve">3er SÁBADO del mes</t>
  </si>
  <si>
    <t xml:space="preserve">Misa de Jóvenes en Cristo.</t>
  </si>
  <si>
    <t xml:space="preserve">3er DOMINGO del mes</t>
  </si>
  <si>
    <t xml:space="preserve">10:00 AM</t>
  </si>
  <si>
    <t xml:space="preserve">San Martín</t>
  </si>
  <si>
    <t xml:space="preserve">Misa. Ese domingo el meal prep se corre a las 15:00.</t>
  </si>
  <si>
    <t xml:space="preserve">Cada VIERNES</t>
  </si>
  <si>
    <t xml:space="preserve">Todo el día</t>
  </si>
  <si>
    <t xml:space="preserve">—</t>
  </si>
  <si>
    <t xml:space="preserve">AYUNO. Cena del jueves 19:35 → cena del viernes 19:45. Agua, electrolitos, café negro y té sin azúcar.</t>
  </si>
  <si>
    <t xml:space="preserve">REGLA DE CONFLICTO</t>
  </si>
  <si>
    <t xml:space="preserve">Si un compromiso espiritual choca con entrenamiento: gana el compromiso espiritual. El gym se mueve; la misa no.</t>
  </si>
  <si>
    <t xml:space="preserve">Si choca con estudio: gana el compromiso espiritual, y el estudio se recupera el domingo (el bloque del domingo tiene holgura para eso).</t>
  </si>
  <si>
    <t xml:space="preserve">Si choca con baloncesto: gana el compromiso espiritual. Por eso el baloncesto del lunes es 3 de 4 semanas y no 4 de 4.</t>
  </si>
  <si>
    <t xml:space="preserve">PANEL DE CÁLCULO NUTRICIONAL</t>
  </si>
  <si>
    <t xml:space="preserve">AZUL = tú lo editas.  NEGRO = fórmula, no lo toques.</t>
  </si>
  <si>
    <t xml:space="preserve">DATOS PERSONALES</t>
  </si>
  <si>
    <t xml:space="preserve">Peso actual (lb)</t>
  </si>
  <si>
    <t xml:space="preserve">Dato que me diste el 02/09/2026.</t>
  </si>
  <si>
    <t xml:space="preserve">Peso actual (kg)</t>
  </si>
  <si>
    <t xml:space="preserve">Estatura (cm)</t>
  </si>
  <si>
    <t xml:space="preserve">InBody 12/05/2025.</t>
  </si>
  <si>
    <t xml:space="preserve">Edad (años)</t>
  </si>
  <si>
    <t xml:space="preserve">% grasa corporal estimado</t>
  </si>
  <si>
    <t xml:space="preserve">Tu estimación. El InBody de 05/2025 dio 22.8% a 97.7 kg. Confírmalo con una nueva medición.</t>
  </si>
  <si>
    <t xml:space="preserve">Masa magra (kg)</t>
  </si>
  <si>
    <t xml:space="preserve">Lo que estamos protegiendo durante el corte.</t>
  </si>
  <si>
    <t xml:space="preserve">GASTO ENERGÉTICO</t>
  </si>
  <si>
    <t xml:space="preserve">TMB — Mifflin-St Jeor (kcal)</t>
  </si>
  <si>
    <t xml:space="preserve">El InBody reportó TMB 1,999 kcal en 05/2025. Coherente.</t>
  </si>
  <si>
    <t xml:space="preserve">Factor de actividad</t>
  </si>
  <si>
    <t xml:space="preserve">1.55 = 4 días de pesas + cardio diario + deportes. Si bajas &gt;1 kg/semana dos semanas seguidas, súbelo a 1.65.</t>
  </si>
  <si>
    <t xml:space="preserve">TDEE — gasto total (kcal)</t>
  </si>
  <si>
    <t xml:space="preserve">Tu punto de equilibrio: comiendo esto, no subes ni bajas.</t>
  </si>
  <si>
    <t xml:space="preserve">Déficit día ENTRENO (kcal)</t>
  </si>
  <si>
    <t xml:space="preserve">Déficit día LIGERO (kcal)</t>
  </si>
  <si>
    <t xml:space="preserve">METAS DIARIAS</t>
  </si>
  <si>
    <t xml:space="preserve">Calorías — día ENTRENO (Lu/Ma/Mi/Ju)</t>
  </si>
  <si>
    <t xml:space="preserve">Calorías — día LIGERO (Sá/Do)</t>
  </si>
  <si>
    <t xml:space="preserve">Calorías — día AYUNO (Vi)</t>
  </si>
  <si>
    <t xml:space="preserve">Proteína (g/día)</t>
  </si>
  <si>
    <t xml:space="preserve">Grasa (g/día)</t>
  </si>
  <si>
    <t xml:space="preserve">Carbohidratos — día ENTRENO (g)</t>
  </si>
  <si>
    <t xml:space="preserve">Carbohidratos — día LIGERO (g)</t>
  </si>
  <si>
    <t xml:space="preserve">Agua (litros/día)</t>
  </si>
  <si>
    <t xml:space="preserve">Creatina monohidratada (g/día)</t>
  </si>
  <si>
    <t xml:space="preserve">Sueño mínimo (horas)</t>
  </si>
  <si>
    <t xml:space="preserve">Estudio mínimo (minutos/día)</t>
  </si>
  <si>
    <t xml:space="preserve">LECTURA DEL DÉFICIT</t>
  </si>
  <si>
    <t xml:space="preserve">Ingesta semanal total (kcal)</t>
  </si>
  <si>
    <t xml:space="preserve">Promedio diario real (kcal)</t>
  </si>
  <si>
    <t xml:space="preserve">Déficit promedio diario (kcal)</t>
  </si>
  <si>
    <t xml:space="preserve">Pérdida semanal proyectada (kg)</t>
  </si>
  <si>
    <t xml:space="preserve">Pérdida semanal proyectada (lb)</t>
  </si>
  <si>
    <t xml:space="preserve">Si la pérdida real supera 1 kg/semana dos semanas seguidas, sube el factor de actividad o reduce el déficit. Bajar demasiado rápido cuesta músculo y fuerza — que es exactamente lo que no quieres.</t>
  </si>
  <si>
    <t xml:space="preserve">PROTOCOLO DE SUPLEMENTOS</t>
  </si>
  <si>
    <t xml:space="preserve">Creatina monohidratada</t>
  </si>
  <si>
    <t xml:space="preserve">5 g</t>
  </si>
  <si>
    <t xml:space="preserve">Con el agua de la mañana. Se salta el viernes por comodidad, no cambia nada: la creatina se satura en el músculo.</t>
  </si>
  <si>
    <t xml:space="preserve">CoQ10 500 mg</t>
  </si>
  <si>
    <t xml:space="preserve">1 cápsula</t>
  </si>
  <si>
    <t xml:space="preserve">Con una comida que tenga grasa (desayuno o cena) — es liposoluble, en ayunas se absorbe mal. IMPORTANTE: el CoQ10 no baja el LDL. Ver la nota de la hoja LEEME.</t>
  </si>
  <si>
    <t xml:space="preserve">Proteína whey</t>
  </si>
  <si>
    <t xml:space="preserve">1-2 scoops</t>
  </si>
  <si>
    <t xml:space="preserve">Solo para cerrar la brecha de proteína, no como comida. La comida real primero.</t>
  </si>
  <si>
    <t xml:space="preserve">Multivitamínico</t>
  </si>
  <si>
    <t xml:space="preserve">1</t>
  </si>
  <si>
    <t xml:space="preserve">Ya en uso.</t>
  </si>
  <si>
    <t xml:space="preserve">Colágeno</t>
  </si>
  <si>
    <t xml:space="preserve">según etiqueta</t>
  </si>
  <si>
    <t xml:space="preserve">Ya en uso. Mejor 30-60 min antes de entrenar.</t>
  </si>
  <si>
    <t xml:space="preserve">Electrolitos sin calorías</t>
  </si>
  <si>
    <t xml:space="preserve">1 porción</t>
  </si>
  <si>
    <t xml:space="preserve">Obligatorio los viernes de ayuno y en días de baloncesto. Sodio, potasio, magnesio.</t>
  </si>
  <si>
    <t xml:space="preserve">Metaspray</t>
  </si>
  <si>
    <t xml:space="preserve">según indicación</t>
  </si>
  <si>
    <t xml:space="preserve">TABLA DE ALIMENTOS — valores por 100 g</t>
  </si>
  <si>
    <t xml:space="preserve">Regla: la carne y el pescado se pesan CRUDOS. El arroz, la pasta y la avena se pesan SECOS. Si ya está cocido, el peso cambia y el cálculo se rompe.</t>
  </si>
  <si>
    <t xml:space="preserve">Alimento</t>
  </si>
  <si>
    <t xml:space="preserve">Estado</t>
  </si>
  <si>
    <t xml:space="preserve">kcal/100g</t>
  </si>
  <si>
    <t xml:space="preserve">Prot/100g</t>
  </si>
  <si>
    <t xml:space="preserve">Carb/100g</t>
  </si>
  <si>
    <t xml:space="preserve">Grasa/100g</t>
  </si>
  <si>
    <t xml:space="preserve">Medida común</t>
  </si>
  <si>
    <t xml:space="preserve">g por medida</t>
  </si>
  <si>
    <t xml:space="preserve">Nota</t>
  </si>
  <si>
    <t xml:space="preserve">Pechuga de pollo</t>
  </si>
  <si>
    <t xml:space="preserve">crudo</t>
  </si>
  <si>
    <t xml:space="preserve">1 pechuga mediana</t>
  </si>
  <si>
    <t xml:space="preserve">Tu mejor fuente: 22.5 g de proteína por 100 g y casi nada de grasa.</t>
  </si>
  <si>
    <t xml:space="preserve">Tilapia</t>
  </si>
  <si>
    <t xml:space="preserve">1 filete</t>
  </si>
  <si>
    <t xml:space="preserve">Salmón</t>
  </si>
  <si>
    <t xml:space="preserve">Omega-3. Recomendado en tu plan del nutriólogo.</t>
  </si>
  <si>
    <t xml:space="preserve">Lubina / Dorada</t>
  </si>
  <si>
    <t xml:space="preserve">Carne molida de res 90/10</t>
  </si>
  <si>
    <t xml:space="preserve">Pide la molida magra. La 80/20 tiene el doble de grasa.</t>
  </si>
  <si>
    <t xml:space="preserve">Carne molida de res 80/20</t>
  </si>
  <si>
    <t xml:space="preserve">Evítala en corte: menos proteína y más del doble de grasa.</t>
  </si>
  <si>
    <t xml:space="preserve">Res — falda / bistec magro</t>
  </si>
  <si>
    <t xml:space="preserve">1 bistec</t>
  </si>
  <si>
    <t xml:space="preserve">Lomo de cerdo</t>
  </si>
  <si>
    <t xml:space="preserve">Chuleta de cerdo magra</t>
  </si>
  <si>
    <t xml:space="preserve">1 chuleta</t>
  </si>
  <si>
    <t xml:space="preserve">Huevo entero</t>
  </si>
  <si>
    <t xml:space="preserve">1 huevo grande</t>
  </si>
  <si>
    <t xml:space="preserve">1 huevo = 72 kcal, 6.3 g proteína.</t>
  </si>
  <si>
    <t xml:space="preserve">Clara de huevo</t>
  </si>
  <si>
    <t xml:space="preserve">1 clara</t>
  </si>
  <si>
    <t xml:space="preserve">El truco para subir proteína sin grasa: 4 claras = 44 g proteína... no, 14 g. Barato en kcal.</t>
  </si>
  <si>
    <t xml:space="preserve">polvo</t>
  </si>
  <si>
    <t xml:space="preserve">1 scoop</t>
  </si>
  <si>
    <t xml:space="preserve">1 scoop = 24 g proteína. Verifica la etiqueta de TU marca.</t>
  </si>
  <si>
    <t xml:space="preserve">Leche sin lactosa</t>
  </si>
  <si>
    <t xml:space="preserve">líquido</t>
  </si>
  <si>
    <t xml:space="preserve">1 taza</t>
  </si>
  <si>
    <t xml:space="preserve">Yogur griego natural bajo en grasa</t>
  </si>
  <si>
    <t xml:space="preserve">1 pote</t>
  </si>
  <si>
    <t xml:space="preserve">Queso feta</t>
  </si>
  <si>
    <t xml:space="preserve">Arroz blanco</t>
  </si>
  <si>
    <t xml:space="preserve">seco</t>
  </si>
  <si>
    <t xml:space="preserve">1 taza seca</t>
  </si>
  <si>
    <t xml:space="preserve">1 taza seca rinde ~3 tazas cocidas.</t>
  </si>
  <si>
    <t xml:space="preserve">Arroz integral</t>
  </si>
  <si>
    <t xml:space="preserve">Pasta integral</t>
  </si>
  <si>
    <t xml:space="preserve">Avena en hojuelas</t>
  </si>
  <si>
    <t xml:space="preserve">1/2 taza</t>
  </si>
  <si>
    <t xml:space="preserve">Pan integral</t>
  </si>
  <si>
    <t xml:space="preserve">1 rebanada</t>
  </si>
  <si>
    <t xml:space="preserve">Tortilla de maíz</t>
  </si>
  <si>
    <t xml:space="preserve">1 tortilla</t>
  </si>
  <si>
    <t xml:space="preserve">Batata</t>
  </si>
  <si>
    <t xml:space="preserve">1 mediana</t>
  </si>
  <si>
    <t xml:space="preserve">Papa</t>
  </si>
  <si>
    <t xml:space="preserve">Lentejas</t>
  </si>
  <si>
    <t xml:space="preserve">cocidas</t>
  </si>
  <si>
    <t xml:space="preserve">1 taza cocida</t>
  </si>
  <si>
    <t xml:space="preserve">Aquí sí se pesa cocida.</t>
  </si>
  <si>
    <t xml:space="preserve">Aguacate</t>
  </si>
  <si>
    <t xml:space="preserve">1/2 unidad</t>
  </si>
  <si>
    <t xml:space="preserve">Grasa saludable, pero densa. Pésalo siempre.</t>
  </si>
  <si>
    <t xml:space="preserve">Aceite de oliva</t>
  </si>
  <si>
    <t xml:space="preserve">1 cucharada</t>
  </si>
  <si>
    <t xml:space="preserve">Una cucharada mal medida = 120 kcal invisibles. Es el error #1 en un corte.</t>
  </si>
  <si>
    <t xml:space="preserve">Mantequilla de maní</t>
  </si>
  <si>
    <t xml:space="preserve">Almendras</t>
  </si>
  <si>
    <t xml:space="preserve">1 puñado</t>
  </si>
  <si>
    <t xml:space="preserve">Pistachos</t>
  </si>
  <si>
    <t xml:space="preserve">Maní natural</t>
  </si>
  <si>
    <t xml:space="preserve">Semillas de cajuil (anacardo)</t>
  </si>
  <si>
    <t xml:space="preserve">Hummus</t>
  </si>
  <si>
    <t xml:space="preserve">Banana (guineo)</t>
  </si>
  <si>
    <t xml:space="preserve">Mandarina</t>
  </si>
  <si>
    <t xml:space="preserve">1 unidad</t>
  </si>
  <si>
    <t xml:space="preserve">Kiwi</t>
  </si>
  <si>
    <t xml:space="preserve">Mango</t>
  </si>
  <si>
    <t xml:space="preserve">Papaya / Lechosa</t>
  </si>
  <si>
    <t xml:space="preserve">1 taza en cubos</t>
  </si>
  <si>
    <t xml:space="preserve">Fresas</t>
  </si>
  <si>
    <t xml:space="preserve">Fruta baja en azúcar — recomendada en tu plan.</t>
  </si>
  <si>
    <t xml:space="preserve">Ensalada verde mixta</t>
  </si>
  <si>
    <t xml:space="preserve">Lechuga, rúcula, espinaca, pepino, tomate.</t>
  </si>
  <si>
    <t xml:space="preserve">Vegetales salteados mixtos</t>
  </si>
  <si>
    <t xml:space="preserve">Brócoli, zanahoria, cebolla, pimiento con poco aceite.</t>
  </si>
  <si>
    <t xml:space="preserve">Espinaca cruda</t>
  </si>
  <si>
    <t xml:space="preserve">Brócoli</t>
  </si>
  <si>
    <t xml:space="preserve">Mayonesa ligera</t>
  </si>
  <si>
    <t xml:space="preserve">1 cucharadita rasa</t>
  </si>
  <si>
    <t xml:space="preserve">0 calorías. No rompe el ayuno, pero se salta el viernes por comodidad.</t>
  </si>
  <si>
    <t xml:space="preserve">MENÚS MODELO — gramos exactos, totales automáticos</t>
  </si>
  <si>
    <t xml:space="preserve">Los macros se calculan solos desde la hoja ALIMENTOS. Cambia solo la columna GRAMOS (azul) o el nombre del alimento (debe escribirse EXACTO igual que en ALIMENTOS).</t>
  </si>
  <si>
    <t xml:space="preserve">DÍA ENTRENO — Lunes, Martes, Miércoles, Jueves</t>
  </si>
  <si>
    <t xml:space="preserve">Comida</t>
  </si>
  <si>
    <t xml:space="preserve">Gramos</t>
  </si>
  <si>
    <t xml:space="preserve">kcal</t>
  </si>
  <si>
    <t xml:space="preserve">Proteína</t>
  </si>
  <si>
    <t xml:space="preserve">Carbs</t>
  </si>
  <si>
    <t xml:space="preserve">Grasa</t>
  </si>
  <si>
    <t xml:space="preserve">3 huevos grandes</t>
  </si>
  <si>
    <t xml:space="preserve">6 claras. Aquí está el truco de la proteína barata.</t>
  </si>
  <si>
    <t xml:space="preserve">Pesada SECA</t>
  </si>
  <si>
    <t xml:space="preserve">1 cucharada rasa, no colmada</t>
  </si>
  <si>
    <t xml:space="preserve">Peso CRUDO</t>
  </si>
  <si>
    <t xml:space="preserve">Peso SECO</t>
  </si>
  <si>
    <t xml:space="preserve">1/2 cucharada</t>
  </si>
  <si>
    <t xml:space="preserve">2 rebanadas</t>
  </si>
  <si>
    <t xml:space="preserve">Intercambiable con lubina, dorada o pollo</t>
  </si>
  <si>
    <t xml:space="preserve">TOTAL DEL DÍA</t>
  </si>
  <si>
    <t xml:space="preserve">META</t>
  </si>
  <si>
    <t xml:space="preserve">DIFERENCIA</t>
  </si>
  <si>
    <t xml:space="preserve">Intercambios permitidos sin recalcular: tilapia ⇄ lubina ⇄ dorada ⇄ pechuga de pollo (mismo peso). Arroz blanco ⇄ arroz integral ⇄ pasta integral (mismo peso seco). Batata ⇄ papa (multiplica el peso por 1.15 si usas papa).</t>
  </si>
  <si>
    <t xml:space="preserve">DÍA LIGERO — Sábado y Domingo (sin pesas)</t>
  </si>
  <si>
    <t xml:space="preserve">Peso CRUDO. Pide la magra.</t>
  </si>
  <si>
    <t xml:space="preserve">Días sin pesas: menos carbohidratos, misma proteína. La proteína NUNCA baja — es lo único que protege el músculo cuando el déficit aprieta.</t>
  </si>
  <si>
    <t xml:space="preserve">DÍA AYUNO — Viernes (cena de ruptura 19:45)</t>
  </si>
  <si>
    <t xml:space="preserve">Durante el día</t>
  </si>
  <si>
    <t xml:space="preserve">Se salta hoy. Se retoma el sábado sin problema — la creatina se satura en el músculo, un día no cambia nada.</t>
  </si>
  <si>
    <t xml:space="preserve">Cena ruptura</t>
  </si>
  <si>
    <t xml:space="preserve">PROTOCOLO DEL AYUNO: última comida jueves 19:35 → primera comida viernes 19:45 (≈24 h). Permitido todo el día: agua (mínimo 4 L), café negro sin azúcar, té sin azúcar, electrolitos sin calorías (sodio, potasio, magnesio). Los electrolitos no son opcional: es lo que evita el mareo y el dolor de cabeza. Si aparece mareo, temblor, visión borrosa o taquicardia, se rompe el ayuno de inmediato — la disciplina no incluye ignorar señales del cuerpo. Coméntale este ayuno a tu nutriólogo antes de la primera semana.</t>
  </si>
  <si>
    <t xml:space="preserve">RUTINA — corte sin perder fuerza</t>
  </si>
  <si>
    <t xml:space="preserve">Principio del corte: la INTENSIDAD (el peso) se mantiene, el VOLUMEN (series accesorias) es lo que se recorta si la recuperación falla. Nunca al revés.</t>
  </si>
  <si>
    <t xml:space="preserve">DÍA 1</t>
  </si>
  <si>
    <t xml:space="preserve">LUNES — Pecho / Tríceps / Antebrazo / Abdomen</t>
  </si>
  <si>
    <t xml:space="preserve">#</t>
  </si>
  <si>
    <t xml:space="preserve">Ejercicio</t>
  </si>
  <si>
    <t xml:space="preserve">Series</t>
  </si>
  <si>
    <t xml:space="preserve">Repeticiones</t>
  </si>
  <si>
    <t xml:space="preserve">RPE</t>
  </si>
  <si>
    <t xml:space="preserve">Descanso</t>
  </si>
  <si>
    <t xml:space="preserve">Mi carga (kg)</t>
  </si>
  <si>
    <t xml:space="preserve">Nota técnica</t>
  </si>
  <si>
    <t xml:space="preserve">Calentamiento: 25 pechadas + movilidad de hombro</t>
  </si>
  <si>
    <t xml:space="preserve">5 min</t>
  </si>
  <si>
    <t xml:space="preserve">Aquí van tus pechadas. No las hagas al despertar y otra vez en el gym.</t>
  </si>
  <si>
    <t xml:space="preserve">Press de banca con barra</t>
  </si>
  <si>
    <t xml:space="preserve">4</t>
  </si>
  <si>
    <t xml:space="preserve">4-6</t>
  </si>
  <si>
    <t xml:space="preserve">8</t>
  </si>
  <si>
    <t xml:space="preserve">3 min</t>
  </si>
  <si>
    <t xml:space="preserve">TU LEVANTAMIENTO ANCLA. Este peso no baja durante el corte. Si baja 2 semanas seguidas, el déficit es muy agresivo.</t>
  </si>
  <si>
    <t xml:space="preserve">Press inclinado con mancuernas</t>
  </si>
  <si>
    <t xml:space="preserve">3</t>
  </si>
  <si>
    <t xml:space="preserve">8-10</t>
  </si>
  <si>
    <t xml:space="preserve">2 min</t>
  </si>
  <si>
    <t xml:space="preserve">Inclinación 30°, no más.</t>
  </si>
  <si>
    <t xml:space="preserve">Fondos en paralelas</t>
  </si>
  <si>
    <t xml:space="preserve">Lastrados si haces más de 12 limpias. Pecho ligeramente inclinado hacia adelante.</t>
  </si>
  <si>
    <t xml:space="preserve">Cruce de poleas (aperturas)</t>
  </si>
  <si>
    <t xml:space="preserve">12-15</t>
  </si>
  <si>
    <t xml:space="preserve">9</t>
  </si>
  <si>
    <t xml:space="preserve">60 s</t>
  </si>
  <si>
    <t xml:space="preserve">Aquí sí llegas cerca del fallo. Es aislamiento, es seguro.</t>
  </si>
  <si>
    <t xml:space="preserve">Extensión de tríceps en polea (barra recta)</t>
  </si>
  <si>
    <t xml:space="preserve">10-12</t>
  </si>
  <si>
    <t xml:space="preserve">90 s</t>
  </si>
  <si>
    <t xml:space="preserve">Codos pegados al torso.</t>
  </si>
  <si>
    <t xml:space="preserve">Extensión sobre cabeza con cuerda</t>
  </si>
  <si>
    <t xml:space="preserve">Trabaja la cabeza larga del tríceps — la que da volumen al brazo.</t>
  </si>
  <si>
    <t xml:space="preserve">Curl de muñeca con barra</t>
  </si>
  <si>
    <t xml:space="preserve">15-20</t>
  </si>
  <si>
    <t xml:space="preserve">45 s</t>
  </si>
  <si>
    <t xml:space="preserve">Antebrazo. Rango completo, peso ligero.</t>
  </si>
  <si>
    <t xml:space="preserve">Paseo del granjero (farmer's carry)</t>
  </si>
  <si>
    <t xml:space="preserve">45 seg</t>
  </si>
  <si>
    <t xml:space="preserve">Agarre + antebrazo + core en un solo movimiento.</t>
  </si>
  <si>
    <t xml:space="preserve">Plancha frontal</t>
  </si>
  <si>
    <t xml:space="preserve">45-60 seg</t>
  </si>
  <si>
    <t xml:space="preserve">Dead bug con banda</t>
  </si>
  <si>
    <t xml:space="preserve">10/lado</t>
  </si>
  <si>
    <t xml:space="preserve">Anti-extensión. Sustituye la elevación de piernas: no carga el disco en flexión.</t>
  </si>
  <si>
    <t xml:space="preserve">CARDIO: 15 min Z2 en cinta o elíptica</t>
  </si>
  <si>
    <t xml:space="preserve">15 min</t>
  </si>
  <si>
    <t xml:space="preserve">Frecuencia conversacional. No corras aquí — el correr largo va el sábado.</t>
  </si>
  <si>
    <t xml:space="preserve">DÍA 2</t>
  </si>
  <si>
    <t xml:space="preserve">MARTES — Espalda / Bíceps / Deltoide posterior / Abdomen</t>
  </si>
  <si>
    <t xml:space="preserve">Calentamiento: 2x8 dominadas + face pull ligero</t>
  </si>
  <si>
    <t xml:space="preserve">Aquí van tus dominadas. Meta: llegar a 25-50 acumuladas en la sesión sumando series.</t>
  </si>
  <si>
    <t xml:space="preserve">Dominadas lastradas</t>
  </si>
  <si>
    <t xml:space="preserve">5-8</t>
  </si>
  <si>
    <t xml:space="preserve">TU LEVANTAMIENTO ANCLA de tracción. Si no llegas a 5 lastradas, hazlas al peso corporal 4x8-10.</t>
  </si>
  <si>
    <t xml:space="preserve">Remo en máquina con pecho apoyado</t>
  </si>
  <si>
    <t xml:space="preserve">8-12</t>
  </si>
  <si>
    <t xml:space="preserve">2.5 min</t>
  </si>
  <si>
    <t xml:space="preserve">TU LEVANTAMIENTO ANCLA de espalda: 5 discos de 45 lb por lado x12. El pecho apoyado quita la carga del erector lumbar — por eso reemplaza al remo con barra inclinado.</t>
  </si>
  <si>
    <t xml:space="preserve">Jalón al pecho agarre neutro</t>
  </si>
  <si>
    <t xml:space="preserve">Remo en polea baja</t>
  </si>
  <si>
    <t xml:space="preserve">Aprieta 1 segundo en la contracción.</t>
  </si>
  <si>
    <t xml:space="preserve">Face pull</t>
  </si>
  <si>
    <t xml:space="preserve">Salud de hombro. No lo saltes — con este volumen de press lo vas a necesitar.</t>
  </si>
  <si>
    <t xml:space="preserve">Pájaros / elevación posterior</t>
  </si>
  <si>
    <t xml:space="preserve">Deltoide posterior.</t>
  </si>
  <si>
    <t xml:space="preserve">Curl con barra Z</t>
  </si>
  <si>
    <t xml:space="preserve">Curl martillo</t>
  </si>
  <si>
    <t xml:space="preserve">También pega antebrazo (braquiorradial).</t>
  </si>
  <si>
    <t xml:space="preserve">Press Pallof en polea</t>
  </si>
  <si>
    <t xml:space="preserve">12/lado</t>
  </si>
  <si>
    <t xml:space="preserve">Anti-rotación. Reemplaza la rueda abdominal, que carga el disco en extensión bajo tensión.</t>
  </si>
  <si>
    <t xml:space="preserve">Paseo maleta (suitcase carry)</t>
  </si>
  <si>
    <t xml:space="preserve">40 seg/lado</t>
  </si>
  <si>
    <t xml:space="preserve">Anti-flexión lateral. Transfiere al swing de softball sin rotar la columna bajo carga.</t>
  </si>
  <si>
    <t xml:space="preserve">CARDIO: 15 min Z2</t>
  </si>
  <si>
    <t xml:space="preserve">DÍA 3</t>
  </si>
  <si>
    <t xml:space="preserve">MIÉRCOLES — Pecho + Espalda / Hombro / Abdomen (superseries)</t>
  </si>
  <si>
    <t xml:space="preserve">Sesión corta a propósito: 50 min. Hoy el cardio es softball + natación.</t>
  </si>
  <si>
    <t xml:space="preserve">A1 Press inclinado con mancuernas</t>
  </si>
  <si>
    <t xml:space="preserve">0 s</t>
  </si>
  <si>
    <t xml:space="preserve">Superserie con A2: no descansas entre A1 y A2.</t>
  </si>
  <si>
    <t xml:space="preserve">A2 Remo con mancuerna a una mano</t>
  </si>
  <si>
    <t xml:space="preserve">8-10/lado</t>
  </si>
  <si>
    <t xml:space="preserve">Descansas 90 s después de completar A1+A2.</t>
  </si>
  <si>
    <t xml:space="preserve">B1 Press militar de pie con barra</t>
  </si>
  <si>
    <t xml:space="preserve">6-8</t>
  </si>
  <si>
    <t xml:space="preserve">TU LEVANTAMIENTO ANCLA de hombro. De pie, no sentado.</t>
  </si>
  <si>
    <t xml:space="preserve">B2 Jalón al pecho agarre ancho</t>
  </si>
  <si>
    <t xml:space="preserve">C1 Elevaciones laterales</t>
  </si>
  <si>
    <t xml:space="preserve">Deltoide medio — el que da ancho a la silueta.</t>
  </si>
  <si>
    <t xml:space="preserve">C2 Pechadas hasta 2 reps del fallo</t>
  </si>
  <si>
    <t xml:space="preserve">máx</t>
  </si>
  <si>
    <t xml:space="preserve">Aquí completas el volumen de pechadas del día.</t>
  </si>
  <si>
    <t xml:space="preserve">Elevación frontal en polea</t>
  </si>
  <si>
    <t xml:space="preserve">Encogimientos de trapecio</t>
  </si>
  <si>
    <t xml:space="preserve">Bird dog</t>
  </si>
  <si>
    <t xml:space="preserve">7</t>
  </si>
  <si>
    <t xml:space="preserve">40 s</t>
  </si>
  <si>
    <t xml:space="preserve">Estabilidad lumbar. Lento, sin rotar la cadera.</t>
  </si>
  <si>
    <t xml:space="preserve">Plancha lateral</t>
  </si>
  <si>
    <t xml:space="preserve">30 s</t>
  </si>
  <si>
    <t xml:space="preserve">DÍA 4</t>
  </si>
  <si>
    <t xml:space="preserve">JUEVES — PIERNAS (sin sentadilla, sin pliometría, sin compresión axial)</t>
  </si>
  <si>
    <t xml:space="preserve">PROTOCOLO ARTICULAR: cero saltos, cero sentadilla con barra, cero peso muerto convencional sin autorización médica.</t>
  </si>
  <si>
    <t xml:space="preserve">Hernias discales + meniscos deteriorados. La prensa y las máquinas te dan el mismo estímulo sin comprimir columna ni cizallar la rodilla.</t>
  </si>
  <si>
    <t xml:space="preserve">Calentamiento: bicicleta 8 min + movilidad cadera/tobillo</t>
  </si>
  <si>
    <t xml:space="preserve">La bicicleta antes de pierna no es opcional con menisco: calienta el líquido sinovial.</t>
  </si>
  <si>
    <t xml:space="preserve">Activación glútea con banda (puente + abducción)</t>
  </si>
  <si>
    <t xml:space="preserve">2</t>
  </si>
  <si>
    <t xml:space="preserve">15</t>
  </si>
  <si>
    <t xml:space="preserve">6</t>
  </si>
  <si>
    <t xml:space="preserve">Glúteo dormido = rodilla trabajando de más.</t>
  </si>
  <si>
    <t xml:space="preserve">Prensa de piernas</t>
  </si>
  <si>
    <t xml:space="preserve">TU LEVANTAMIENTO ANCLA de pierna. Máximo 800 lb. NO bajes hasta que la pelvis se despegue del respaldo — ahí es donde se hernia.</t>
  </si>
  <si>
    <t xml:space="preserve">Empuje de cadera con barra (hip thrust)</t>
  </si>
  <si>
    <t xml:space="preserve">Cadena posterior principal. Carga el glúteo con la columna neutra y apoyada.</t>
  </si>
  <si>
    <t xml:space="preserve">Peso muerto rumano con barra hexagonal o mancuernas</t>
  </si>
  <si>
    <t xml:space="preserve">CONDICIONAL — solo con autorización médica. Si no la tienes, sustituye por curl femoral sentado 4x12-15.</t>
  </si>
  <si>
    <t xml:space="preserve">Extensión de cuádriceps</t>
  </si>
  <si>
    <t xml:space="preserve">Stack completo (210 lb). Como ya lo maxeas: tempo 3 seg en la bajada y pausa de 1 seg arriba. Duele mucho más con el mismo peso.</t>
  </si>
  <si>
    <t xml:space="preserve">Curl femoral tumbado o sentado</t>
  </si>
  <si>
    <t xml:space="preserve">75 s</t>
  </si>
  <si>
    <t xml:space="preserve">Isquiotibial = estabilizador directo de la rodilla. Con menisco deteriorado esto es prevención, no accesorio.</t>
  </si>
  <si>
    <t xml:space="preserve">Máquina de aductores</t>
  </si>
  <si>
    <t xml:space="preserve">Ya lo maxeas. Añade pausa de 2 seg en la contracción.</t>
  </si>
  <si>
    <t xml:space="preserve">Máquina de abductores</t>
  </si>
  <si>
    <t xml:space="preserve">Glúteo medio. Lo que estabiliza la rodilla al aterrizar en baloncesto.</t>
  </si>
  <si>
    <t xml:space="preserve">Elevación de talones de pie o sentado</t>
  </si>
  <si>
    <t xml:space="preserve">Pausa de 1 seg arriba y abajo.</t>
  </si>
  <si>
    <t xml:space="preserve">Press Pallof + plancha lateral</t>
  </si>
  <si>
    <t xml:space="preserve">12/lado + 40 seg</t>
  </si>
  <si>
    <t xml:space="preserve">Core sin flexión lumbar.</t>
  </si>
  <si>
    <t xml:space="preserve">CARDIO: caminata inclinada 15 min o bicicleta</t>
  </si>
  <si>
    <t xml:space="preserve">NO correr después de pierna. Mañana es ayuno y descanso: deja que la rodilla se recupere.</t>
  </si>
  <si>
    <t xml:space="preserve">PROGRESIÓN Y DELOAD</t>
  </si>
  <si>
    <t xml:space="preserve">Cómo progresar: cuando llegues al tope del rango de repeticiones en TODAS las series de un ejercicio, dos sesiones seguidas, subes 2.5 kg (superior) o 5 kg (inferior) la próxima sesión.</t>
  </si>
  <si>
    <t xml:space="preserve">Los 4 levantamientos ancla (press banca, dominada lastrada, press militar, sentadilla): estos son el termómetro del corte. Si los cuatro caen a la vez, el problema no es el gym — es que estás comiendo muy poco o durmiendo muy poco.</t>
  </si>
  <si>
    <t xml:space="preserve">Deload cada 6 semanas: misma carga, mitad de las series. Una semana. No es opcional cuando entrenas 4 días + 2 de baloncesto + natación en déficit calórico.</t>
  </si>
  <si>
    <t xml:space="preserve">Si la recuperación falla: primero quitas 1 serie de cada accesorio (el ejercicio 4 en adelante). Nunca bajas el peso de los levantamientos ancla. Ese es el punto entero de esta rutina.</t>
  </si>
  <si>
    <t xml:space="preserve">Ver la hoja PROGRESION para las cargas semana por semana calculadas desde tus PR reales.</t>
  </si>
  <si>
    <t xml:space="preserve">Falta un dato: tu press militar de pie. Es el único levantamiento ancla que no me diste. Anótalo la primera semana y te ajusto la progresión.</t>
  </si>
  <si>
    <t xml:space="preserve">PROGRESIÓN 12 SEMANAS — calculada desde tus PR reales</t>
  </si>
  <si>
    <t xml:space="preserve">En déficit calórico, MANTENER la carga ya es éxito. Los incrementos de abajo son objetivo, no obligación. Si mantienes los números de la semana 1 durante 12 semanas y bajas 8 kg, el corte fue perfecto.</t>
  </si>
  <si>
    <t xml:space="preserve">TUS PR DECLARADOS (03/09/2026)</t>
  </si>
  <si>
    <t xml:space="preserve">Levantamiento</t>
  </si>
  <si>
    <t xml:space="preserve">PR declarado</t>
  </si>
  <si>
    <t xml:space="preserve">1RM estimado (lb)</t>
  </si>
  <si>
    <t xml:space="preserve">Press de banca</t>
  </si>
  <si>
    <t xml:space="preserve">225 lb x 5</t>
  </si>
  <si>
    <t xml:space="preserve">Epley. Tu serie de trabajo 4-6 reps vive entre 215 y 240 lb.</t>
  </si>
  <si>
    <t xml:space="preserve">Peso muerto convencional</t>
  </si>
  <si>
    <t xml:space="preserve">315 lb x 3</t>
  </si>
  <si>
    <t xml:space="preserve">CONDICIONAL — con hernias discales requiere autorización. La progresión de abajo usa RDL con barra hexagonal o mancuernas.</t>
  </si>
  <si>
    <t xml:space="preserve">Remo en máquina</t>
  </si>
  <si>
    <t xml:space="preserve">5 discos/lado x 12</t>
  </si>
  <si>
    <t xml:space="preserve">Tu 12RM. Es tu ancla de tracción horizontal.</t>
  </si>
  <si>
    <t xml:space="preserve">800 lb</t>
  </si>
  <si>
    <t xml:space="preserve">Tu ancla de pierna, en sustitución de la sentadilla.</t>
  </si>
  <si>
    <t xml:space="preserve">210 lb (stack completo)</t>
  </si>
  <si>
    <t xml:space="preserve">Ya lo maxeas: la progresión ahora es por tempo y pausa, no por peso.</t>
  </si>
  <si>
    <t xml:space="preserve">Dominadas</t>
  </si>
  <si>
    <t xml:space="preserve">10-12 máx / 5-8 habitual</t>
  </si>
  <si>
    <t xml:space="preserve">Objetivo semana 12: 4x10 limpias o 5 reps con +25 lb.</t>
  </si>
  <si>
    <t xml:space="preserve">Pechadas</t>
  </si>
  <si>
    <t xml:space="preserve">50 máx / 20-25 habitual</t>
  </si>
  <si>
    <t xml:space="preserve">Objetivo semana 12: volver a 50 en una serie.</t>
  </si>
  <si>
    <t xml:space="preserve">Press militar de pie</t>
  </si>
  <si>
    <t xml:space="preserve">PENDIENTE</t>
  </si>
  <si>
    <t xml:space="preserve">Anótalo la primera semana y te recalculo el bloque de hombro.</t>
  </si>
  <si>
    <t xml:space="preserve">CALENDARIO DE CARGAS — 3 bloques de 4 semanas</t>
  </si>
  <si>
    <t xml:space="preserve">Semana</t>
  </si>
  <si>
    <t xml:space="preserve">Press banca (serie tope)</t>
  </si>
  <si>
    <t xml:space="preserve">Banca (backoff)</t>
  </si>
  <si>
    <t xml:space="preserve">Remo máquina (discos/lado)</t>
  </si>
  <si>
    <t xml:space="preserve">Prensa piernas</t>
  </si>
  <si>
    <t xml:space="preserve">Empuje cadera</t>
  </si>
  <si>
    <t xml:space="preserve">RDL hex/mancuernas</t>
  </si>
  <si>
    <t xml:space="preserve">Pechadas (Día 3)</t>
  </si>
  <si>
    <t xml:space="preserve">Enfoque de la semana</t>
  </si>
  <si>
    <t xml:space="preserve">215 lb x 6</t>
  </si>
  <si>
    <t xml:space="preserve">3x8 @ 175</t>
  </si>
  <si>
    <t xml:space="preserve">4.0 x 12</t>
  </si>
  <si>
    <t xml:space="preserve">590 x 8</t>
  </si>
  <si>
    <t xml:space="preserve">155 x 10</t>
  </si>
  <si>
    <t xml:space="preserve">165 x 10</t>
  </si>
  <si>
    <t xml:space="preserve">5 x 5</t>
  </si>
  <si>
    <t xml:space="preserve">3 x 22</t>
  </si>
  <si>
    <t xml:space="preserve">Acumulación. Semana fácil a propósito: estás entrando en déficit.</t>
  </si>
  <si>
    <t xml:space="preserve">3x8 @ 185</t>
  </si>
  <si>
    <t xml:space="preserve">4.5 x 10</t>
  </si>
  <si>
    <t xml:space="preserve">640 x 6</t>
  </si>
  <si>
    <t xml:space="preserve">175 x 10</t>
  </si>
  <si>
    <t xml:space="preserve">185 x 8</t>
  </si>
  <si>
    <t xml:space="preserve">5 x 6</t>
  </si>
  <si>
    <t xml:space="preserve">3 x 25</t>
  </si>
  <si>
    <t xml:space="preserve">Igualas tu PR de banca. Si sale limpio, el déficit está bien calibrado.</t>
  </si>
  <si>
    <t xml:space="preserve">235 lb x 4</t>
  </si>
  <si>
    <t xml:space="preserve">3x8 @ 190</t>
  </si>
  <si>
    <t xml:space="preserve">5.0 x 10</t>
  </si>
  <si>
    <t xml:space="preserve">680 x 6</t>
  </si>
  <si>
    <t xml:space="preserve">195 x 8</t>
  </si>
  <si>
    <t xml:space="preserve">205 x 8</t>
  </si>
  <si>
    <t xml:space="preserve">4 x 8</t>
  </si>
  <si>
    <t xml:space="preserve">3 x 28</t>
  </si>
  <si>
    <t xml:space="preserve">Pico del bloque. RPE 8.5, nunca al fallo.</t>
  </si>
  <si>
    <t xml:space="preserve">185 lb x 5 (2 series)</t>
  </si>
  <si>
    <t xml:space="preserve">3.0 x 12</t>
  </si>
  <si>
    <t xml:space="preserve">450 x 10</t>
  </si>
  <si>
    <t xml:space="preserve">135 x 10</t>
  </si>
  <si>
    <t xml:space="preserve">3 x 5</t>
  </si>
  <si>
    <t xml:space="preserve">3 x 20</t>
  </si>
  <si>
    <t xml:space="preserve">DELOAD. No lo saltes. Con 4 días de pesas + baloncesto 2x + natación en déficit, esta semana es lo que evita la lesión.</t>
  </si>
  <si>
    <t xml:space="preserve">220 lb x 6</t>
  </si>
  <si>
    <t xml:space="preserve">3x8 @ 180</t>
  </si>
  <si>
    <t xml:space="preserve">4.5 x 12</t>
  </si>
  <si>
    <t xml:space="preserve">610 x 8</t>
  </si>
  <si>
    <t xml:space="preserve">3 x 30</t>
  </si>
  <si>
    <t xml:space="preserve">Reinicio del bloque 5 lb arriba. Primera medición real de si mantienes fuerza.</t>
  </si>
  <si>
    <t xml:space="preserve">230 lb x 5</t>
  </si>
  <si>
    <t xml:space="preserve">660 x 6</t>
  </si>
  <si>
    <t xml:space="preserve">195 x 10</t>
  </si>
  <si>
    <t xml:space="preserve">5 x 7</t>
  </si>
  <si>
    <t xml:space="preserve">3 x 33</t>
  </si>
  <si>
    <t xml:space="preserve">Superas el PR en volumen.</t>
  </si>
  <si>
    <t xml:space="preserve">240 lb x 4</t>
  </si>
  <si>
    <t xml:space="preserve">3x8 @ 195</t>
  </si>
  <si>
    <t xml:space="preserve">5.0 x 12</t>
  </si>
  <si>
    <t xml:space="preserve">700 x 6</t>
  </si>
  <si>
    <t xml:space="preserve">215 x 8</t>
  </si>
  <si>
    <t xml:space="preserve">4 x 9</t>
  </si>
  <si>
    <t xml:space="preserve">3 x 36</t>
  </si>
  <si>
    <t xml:space="preserve">Pico. Si esta semana falla, revisa sueño antes que calorías.</t>
  </si>
  <si>
    <t xml:space="preserve">190 lb x 5 (2 series)</t>
  </si>
  <si>
    <t xml:space="preserve">3.5 x 12</t>
  </si>
  <si>
    <t xml:space="preserve">470 x 10</t>
  </si>
  <si>
    <t xml:space="preserve">145 x 10</t>
  </si>
  <si>
    <t xml:space="preserve">3 x 6</t>
  </si>
  <si>
    <t xml:space="preserve">DELOAD + re-medición: pésate, mide cintura, repite fotos.</t>
  </si>
  <si>
    <t xml:space="preserve">225 lb x 6</t>
  </si>
  <si>
    <t xml:space="preserve">630 x 8</t>
  </si>
  <si>
    <t xml:space="preserve">185 x 10</t>
  </si>
  <si>
    <t xml:space="preserve">3 x 38</t>
  </si>
  <si>
    <t xml:space="preserve">Bloque final. Aquí el déficit ya pesa: prioriza la serie tope, recorta accesorios si hace falta.</t>
  </si>
  <si>
    <t xml:space="preserve">235 lb x 5</t>
  </si>
  <si>
    <t xml:space="preserve">5.5 x 10</t>
  </si>
  <si>
    <t xml:space="preserve">215 x 10</t>
  </si>
  <si>
    <t xml:space="preserve">5 x 8</t>
  </si>
  <si>
    <t xml:space="preserve">3 x 42</t>
  </si>
  <si>
    <t xml:space="preserve">PR de volumen en banca: 235x5 supera 225x5.</t>
  </si>
  <si>
    <t xml:space="preserve">245 lb x 4</t>
  </si>
  <si>
    <t xml:space="preserve">3x8 @ 200</t>
  </si>
  <si>
    <t xml:space="preserve">5.5 x 12</t>
  </si>
  <si>
    <t xml:space="preserve">720 x 6</t>
  </si>
  <si>
    <t xml:space="preserve">235 x 8</t>
  </si>
  <si>
    <t xml:space="preserve">225 x 8</t>
  </si>
  <si>
    <t xml:space="preserve">4 x 10</t>
  </si>
  <si>
    <t xml:space="preserve">3 x 45</t>
  </si>
  <si>
    <t xml:space="preserve">Pico del ciclo.</t>
  </si>
  <si>
    <t xml:space="preserve">DELOAD + retest</t>
  </si>
  <si>
    <t xml:space="preserve">490 x 10</t>
  </si>
  <si>
    <t xml:space="preserve">Test máximo</t>
  </si>
  <si>
    <t xml:space="preserve">Test 50 reps</t>
  </si>
  <si>
    <t xml:space="preserve">Semana de prueba: banca a 5 reps máximo, dominadas al máximo, pechadas a 50. Y perfil lipídico de control.</t>
  </si>
  <si>
    <t xml:space="preserve">REGLAS DE LECTURA</t>
  </si>
  <si>
    <t xml:space="preserve">Si fallas la serie tope dos semanas seguidas: el problema es sueño o calorías, en ese orden. Revisa el DASHBOARD antes de tocar el gimnasio.</t>
  </si>
  <si>
    <t xml:space="preserve">Si la serie tope sale a RPE 6-7 (te sobraban 3+ reps): sube 10 lb la semana siguiente. El plan es un piso, no un techo.</t>
  </si>
  <si>
    <t xml:space="preserve">Nunca sustituyas el deload por 'una semana ligera improvisada'. Está en el calendario por la misma razón que un cierre contable: si no se agenda, no ocurre.</t>
  </si>
  <si>
    <t xml:space="preserve">Extensión de cuádriceps y máquinas de aductor/abductor: ya estás en el stack completo. Tu progresión ahí es tempo (3 seg bajando), pausa (1-2 seg) y series adicionales — no peso.</t>
  </si>
  <si>
    <t xml:space="preserve">BITÁCORA DIARIA — llena solo las celdas amarillas</t>
  </si>
  <si>
    <t xml:space="preserve">PESOS →</t>
  </si>
  <si>
    <t xml:space="preserve">Suma = 100 puntos por día</t>
  </si>
  <si>
    <t xml:space="preserve">Fecha</t>
  </si>
  <si>
    <t xml:space="preserve">Día</t>
  </si>
  <si>
    <t xml:space="preserve">Tipo</t>
  </si>
  <si>
    <t xml:space="preserve">Levantar 5:00</t>
  </si>
  <si>
    <t xml:space="preserve">Cama+bulto</t>
  </si>
  <si>
    <t xml:space="preserve">Briefing</t>
  </si>
  <si>
    <t xml:space="preserve">Entrenamiento</t>
  </si>
  <si>
    <t xml:space="preserve">Cardio 30'</t>
  </si>
  <si>
    <t xml:space="preserve">Rosario</t>
  </si>
  <si>
    <t xml:space="preserve">Lectura 20'</t>
  </si>
  <si>
    <t xml:space="preserve">Supl.</t>
  </si>
  <si>
    <t xml:space="preserve">Proteína (g)</t>
  </si>
  <si>
    <t xml:space="preserve">Calorías</t>
  </si>
  <si>
    <t xml:space="preserve">Agua (L)</t>
  </si>
  <si>
    <t xml:space="preserve">Estudio (min)</t>
  </si>
  <si>
    <t xml:space="preserve">Sueño (h)</t>
  </si>
  <si>
    <t xml:space="preserve">Meta kcal</t>
  </si>
  <si>
    <t xml:space="preserve">✓Proteína</t>
  </si>
  <si>
    <t xml:space="preserve">✓Calorías</t>
  </si>
  <si>
    <t xml:space="preserve">✓Agua</t>
  </si>
  <si>
    <t xml:space="preserve">✓Estudio</t>
  </si>
  <si>
    <t xml:space="preserve">✓Sueño</t>
  </si>
  <si>
    <t xml:space="preserve">PUNTAJE</t>
  </si>
  <si>
    <t xml:space="preserve">%</t>
  </si>
  <si>
    <t xml:space="preserve">Notas</t>
  </si>
  <si>
    <t xml:space="preserve">Lunes</t>
  </si>
  <si>
    <t xml:space="preserve">ENTRENO</t>
  </si>
  <si>
    <t xml:space="preserve">EJEMPLO — bórralo. Lunes de baloncesto: estudio corto y sueño corto, todo lo demás en orden.</t>
  </si>
  <si>
    <t xml:space="preserve">Martes</t>
  </si>
  <si>
    <t xml:space="preserve">Miércoles</t>
  </si>
  <si>
    <t xml:space="preserve">Jueves</t>
  </si>
  <si>
    <t xml:space="preserve">Viernes</t>
  </si>
  <si>
    <t xml:space="preserve">AYUNO</t>
  </si>
  <si>
    <t xml:space="preserve">Sábado</t>
  </si>
  <si>
    <t xml:space="preserve">LIGERO</t>
  </si>
  <si>
    <t xml:space="preserve">Domingo</t>
  </si>
  <si>
    <t xml:space="preserve">ESTADO DE RESULTADOS DE LA DISCIPLINA</t>
  </si>
  <si>
    <t xml:space="preserve">Mismo principio que un P&amp;L: cada hábito es un renglón, y el margen final te dice si el mes cerró en utilidad o en pérdida.</t>
  </si>
  <si>
    <t xml:space="preserve">RESUMEN EJECUTIVO</t>
  </si>
  <si>
    <t xml:space="preserve">Días registrados</t>
  </si>
  <si>
    <t xml:space="preserve">Puntaje promedio (de 100)</t>
  </si>
  <si>
    <t xml:space="preserve">Margen de cumplimiento acumulado</t>
  </si>
  <si>
    <t xml:space="preserve">Últimos 7 días</t>
  </si>
  <si>
    <t xml:space="preserve">Días con 80+ puntos</t>
  </si>
  <si>
    <t xml:space="preserve">Días con menos de 60 puntos</t>
  </si>
  <si>
    <t xml:space="preserve">DESGLOSE POR RENGLÓN</t>
  </si>
  <si>
    <t xml:space="preserve">Renglón</t>
  </si>
  <si>
    <t xml:space="preserve">Puntos logrados</t>
  </si>
  <si>
    <t xml:space="preserve">Puntos posibles</t>
  </si>
  <si>
    <t xml:space="preserve">Adherencia</t>
  </si>
  <si>
    <t xml:space="preserve">Diagnóstico</t>
  </si>
  <si>
    <t xml:space="preserve">DISCIPLINA BASE</t>
  </si>
  <si>
    <t xml:space="preserve">   Levantarse 5:00</t>
  </si>
  <si>
    <t xml:space="preserve">   Cama + bulto</t>
  </si>
  <si>
    <t xml:space="preserve">   Briefing de mercado</t>
  </si>
  <si>
    <t xml:space="preserve">Subtotal DISCIPLINA BASE</t>
  </si>
  <si>
    <t xml:space="preserve">ENTRENAMIENTO</t>
  </si>
  <si>
    <t xml:space="preserve">   Sesión de entrenamiento</t>
  </si>
  <si>
    <t xml:space="preserve">   Cardio 30 min</t>
  </si>
  <si>
    <t xml:space="preserve">Subtotal ENTRENAMIENTO</t>
  </si>
  <si>
    <t xml:space="preserve">NUTRICIÓN</t>
  </si>
  <si>
    <t xml:space="preserve">   Proteína en meta</t>
  </si>
  <si>
    <t xml:space="preserve">   Calorías en rango</t>
  </si>
  <si>
    <t xml:space="preserve">   Agua 5 L</t>
  </si>
  <si>
    <t xml:space="preserve">   Creatina + CoQ10</t>
  </si>
  <si>
    <t xml:space="preserve">Subtotal NUTRICIÓN</t>
  </si>
  <si>
    <t xml:space="preserve">VIDA ESPIRITUAL</t>
  </si>
  <si>
    <t xml:space="preserve">   Rosario</t>
  </si>
  <si>
    <t xml:space="preserve">Subtotal VIDA ESPIRITUAL</t>
  </si>
  <si>
    <t xml:space="preserve">CAPITAL HUMANO</t>
  </si>
  <si>
    <t xml:space="preserve">   Estudio 2 h</t>
  </si>
  <si>
    <t xml:space="preserve">   Lectura 20 min</t>
  </si>
  <si>
    <t xml:space="preserve">Subtotal CAPITAL HUMANO</t>
  </si>
  <si>
    <t xml:space="preserve">RECUPERACIÓN</t>
  </si>
  <si>
    <t xml:space="preserve">   Sueño 6.5 h+</t>
  </si>
  <si>
    <t xml:space="preserve">Subtotal RECUPERACIÓN</t>
  </si>
  <si>
    <t xml:space="preserve">PUNTAJE TOTAL ACUMULADO</t>
  </si>
  <si>
    <t xml:space="preserve">MARGEN DE CUMPLIMIENTO</t>
  </si>
  <si>
    <t xml:space="preserve">CÓMO LEER ESTE ESTADO</t>
  </si>
  <si>
    <t xml:space="preserve">El renglón con menor adherencia es tu cuello de botella. No intentes subir todo a la vez: arregla ese renglón durante dos semanas y vuelve a mirar.</t>
  </si>
  <si>
    <t xml:space="preserve">Si NUTRICIÓN está alto pero ENTRENAMIENTO está bajo, vas a perder peso y músculo a la vez. Si ENTRENAMIENTO está alto pero NUTRICIÓN bajo, vas a entrenar mucho sin cambiar de composición.</t>
  </si>
  <si>
    <t xml:space="preserve">RECUPERACIÓN es el renglón que la gente sacrifica primero y el que más caro cuesta. Un mes durmiendo 5.5 h destruye el progreso de los otros cinco renglones.</t>
  </si>
  <si>
    <t xml:space="preserve">Objetivo realista de arranque: 75% el primer mes, 85% el segundo, 90% el tercero. Nadie empieza en 100 y el que lo intenta abandona en tres semanas.</t>
  </si>
  <si>
    <t xml:space="preserve">SEGUIMIENTO DE PESO Y COMPOSICIÓN</t>
  </si>
  <si>
    <t xml:space="preserve">Pésate SIEMPRE en las mismas condiciones: sábado en la mañana, en ayunas, después del baño, sin ropa. La media móvil de 4 registros es lo que debes mirar — el dato suelto es ruido.</t>
  </si>
  <si>
    <t xml:space="preserve">Peso (lb)</t>
  </si>
  <si>
    <t xml:space="preserve">Peso (kg)</t>
  </si>
  <si>
    <t xml:space="preserve">Media móvil 4 sem (lb)</t>
  </si>
  <si>
    <t xml:space="preserve">% grasa</t>
  </si>
  <si>
    <t xml:space="preserve">Cintura (cm)</t>
  </si>
  <si>
    <t xml:space="preserve">Δ vs inicio (lb)</t>
  </si>
  <si>
    <t xml:space="preserve">Punto de partida. InBody 12/05/2025: 97.7 kg, 22.8% grasa, MME 43.6 kg, TMB 1,999 kcal.</t>
  </si>
  <si>
    <t xml:space="preserve">REFERENCIA — InBody 12/05/2025 (Nut. Diego A. Espaillat Alejo)</t>
  </si>
  <si>
    <t xml:space="preserve">Peso</t>
  </si>
  <si>
    <t xml:space="preserve">97.7 kg</t>
  </si>
  <si>
    <t xml:space="preserve">Masa muscular esquelética</t>
  </si>
  <si>
    <t xml:space="preserve">43.6 kg</t>
  </si>
  <si>
    <t xml:space="preserve">Masa grasa</t>
  </si>
  <si>
    <t xml:space="preserve">22.3 kg</t>
  </si>
  <si>
    <t xml:space="preserve">% grasa corporal</t>
  </si>
  <si>
    <t xml:space="preserve">22.8%</t>
  </si>
  <si>
    <t xml:space="preserve">IMC</t>
  </si>
  <si>
    <t xml:space="preserve">30.2</t>
  </si>
  <si>
    <t xml:space="preserve">Grasa visceral</t>
  </si>
  <si>
    <t xml:space="preserve">96.3 cm²</t>
  </si>
  <si>
    <t xml:space="preserve">TMB</t>
  </si>
  <si>
    <t xml:space="preserve">1,999 kcal</t>
  </si>
  <si>
    <t xml:space="preserve">Puntuación InBody</t>
  </si>
  <si>
    <t xml:space="preserve">86/100</t>
  </si>
  <si>
    <t xml:space="preserve">Relación cintura-cadera</t>
  </si>
  <si>
    <t xml:space="preserve">0.93 (rango 0.80-0.90)</t>
  </si>
  <si>
    <t xml:space="preserve">ANALÍTICA — SEGUIMIENTO DEL RETO DE LA ROSUVASTATINA</t>
  </si>
  <si>
    <t xml:space="preserve">Vas a dejar una estatina que tomas hace 4 años. El CoQ10 no baja el LDL: sirve para los síntomas musculares de la estatina, no la sustituye. Haz el panel ANTES de cambiar nada — sin dato base no hay experimento, hay apuesta. Y avísale al médico que la prescribió, no lo dejes en silencio.</t>
  </si>
  <si>
    <t xml:space="preserve">Col. total</t>
  </si>
  <si>
    <t xml:space="preserve">LDL</t>
  </si>
  <si>
    <t xml:space="preserve">HDL</t>
  </si>
  <si>
    <t xml:space="preserve">Triglicéridos</t>
  </si>
  <si>
    <t xml:space="preserve">ALT (TGP)</t>
  </si>
  <si>
    <t xml:space="preserve">AST (TGO)</t>
  </si>
  <si>
    <t xml:space="preserve">Notas / medicación</t>
  </si>
  <si>
    <t xml:space="preserve">BASE — hacer esta semana, todavía con rosuvastatina</t>
  </si>
  <si>
    <t xml:space="preserve">Control 6 semanas</t>
  </si>
  <si>
    <t xml:space="preserve">Control 12 semanas — semana de retest del gimnasio</t>
  </si>
  <si>
    <t xml:space="preserve">Referencias generales (no sustituyen la lectura de tu médico): LDL deseable &lt;100 mg/dL · HDL &gt;40 · Triglicéridos &lt;150 · ALT/AST dentro del rango del laboratorio. Con esteatosis hepática, ALT y AST son el indicador de si el corte está funcionando en el hígado.</t>
  </si>
  <si>
    <t xml:space="preserve">Meta a 12 semanas: bajar de ~99.8 kg a ~91-93 kg manteniendo los 43.6 kg de masa muscular. Es decir: toda la pérdida debe venir de grasa. Los 4 levantamientos ancla en la hoja GYM son el indicador de si lo estás logrando.</t>
  </si>
</sst>
</file>

<file path=xl/styles.xml><?xml version="1.0" encoding="utf-8"?>
<styleSheet xmlns="http://schemas.openxmlformats.org/spreadsheetml/2006/main">
  <numFmts count="11">
    <numFmt numFmtId="164" formatCode="General"/>
    <numFmt numFmtId="165" formatCode="0.0"/>
    <numFmt numFmtId="166" formatCode="0"/>
    <numFmt numFmtId="167" formatCode="0.0%"/>
    <numFmt numFmtId="168" formatCode="#,##0"/>
    <numFmt numFmtId="169" formatCode="0.00"/>
    <numFmt numFmtId="170" formatCode="#,##0.00"/>
    <numFmt numFmtId="171" formatCode="\+0;\-0;0"/>
    <numFmt numFmtId="172" formatCode="dd/mm/yyyy"/>
    <numFmt numFmtId="173" formatCode="0%"/>
    <numFmt numFmtId="174" formatCode="\+0.0;\-0.0;0.0"/>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1"/>
      <color rgb="FF1F3A5F"/>
      <name val="Arial"/>
      <family val="0"/>
      <charset val="1"/>
    </font>
    <font>
      <i val="true"/>
      <sz val="9"/>
      <color rgb="FF555555"/>
      <name val="Arial"/>
      <family val="0"/>
      <charset val="1"/>
    </font>
    <font>
      <b val="true"/>
      <sz val="11"/>
      <color rgb="FFFFFFFF"/>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9"/>
      <color rgb="FFB8860B"/>
      <name val="Arial"/>
      <family val="0"/>
      <charset val="1"/>
    </font>
    <font>
      <i val="true"/>
      <sz val="9"/>
      <color rgb="FFC00000"/>
      <name val="Arial"/>
      <family val="0"/>
      <charset val="1"/>
    </font>
    <font>
      <b val="true"/>
      <sz val="10"/>
      <color rgb="FFB8860B"/>
      <name val="Arial"/>
      <family val="0"/>
      <charset val="1"/>
    </font>
    <font>
      <i val="true"/>
      <sz val="10"/>
      <color rgb="FF777777"/>
      <name val="Arial"/>
      <family val="0"/>
      <charset val="1"/>
    </font>
    <font>
      <b val="true"/>
      <sz val="10"/>
      <color rgb="FF1F3A5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EAEFF5"/>
        <bgColor rgb="FFFFFFFF"/>
      </patternFill>
    </fill>
    <fill>
      <patternFill patternType="solid">
        <fgColor rgb="FFB8860B"/>
        <bgColor rgb="FFFF9900"/>
      </patternFill>
    </fill>
    <fill>
      <patternFill patternType="solid">
        <fgColor rgb="FFFFF2CC"/>
        <bgColor rgb="FFEAEF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8" fontId="10" fillId="5"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71" fontId="6"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72" fontId="6" fillId="0" borderId="1" xfId="0" applyFont="true" applyBorder="true" applyAlignment="true" applyProtection="false">
      <alignment horizontal="center" vertical="center" textRotation="0" wrapText="false" indent="0" shrinkToFit="false"/>
      <protection locked="true" hidden="false"/>
    </xf>
    <xf numFmtId="168" fontId="10" fillId="5" borderId="1" xfId="0" applyFont="true" applyBorder="true" applyAlignment="true" applyProtection="false">
      <alignment horizontal="center" vertical="center" textRotation="0" wrapText="fals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73" fontId="6"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center" vertical="center" textRotation="0" wrapText="false" indent="0" shrinkToFit="false"/>
      <protection locked="true" hidden="false"/>
    </xf>
    <xf numFmtId="167" fontId="5" fillId="3" borderId="1" xfId="0" applyFont="true" applyBorder="true" applyAlignment="true" applyProtection="false">
      <alignment horizontal="center" vertical="center" textRotation="0" wrapText="false" indent="0" shrinkToFit="false"/>
      <protection locked="true" hidden="false"/>
    </xf>
    <xf numFmtId="168" fontId="9" fillId="2" borderId="0" xfId="0" applyFont="true" applyBorder="false" applyAlignment="true" applyProtection="false">
      <alignment horizontal="center" vertical="center" textRotation="0" wrapText="false" indent="0" shrinkToFit="false"/>
      <protection locked="true" hidden="false"/>
    </xf>
    <xf numFmtId="167" fontId="9" fillId="2" borderId="0" xfId="0" applyFont="true" applyBorder="fals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74" fontId="6" fillId="0" borderId="1" xfId="0" applyFont="true" applyBorder="true" applyAlignment="true" applyProtection="false">
      <alignment horizontal="center" vertical="center" textRotation="0" wrapText="false" indent="0" shrinkToFit="false"/>
      <protection locked="true" hidden="false"/>
    </xf>
    <xf numFmtId="172" fontId="10"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8860B"/>
      <rgbColor rgb="FF800080"/>
      <rgbColor rgb="FF008080"/>
      <rgbColor rgb="FFBFBFBF"/>
      <rgbColor rgb="FF777777"/>
      <rgbColor rgb="FF9999FF"/>
      <rgbColor rgb="FF993366"/>
      <rgbColor rgb="FFFFF2CC"/>
      <rgbColor rgb="FFEAEF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6"/>
  </cols>
  <sheetData>
    <row r="1" customFormat="false" ht="24" hidden="false" customHeight="true" outlineLevel="0" collapsed="false">
      <c r="A1" s="1" t="s">
        <v>0</v>
      </c>
      <c r="B1" s="2"/>
      <c r="C1" s="2"/>
    </row>
    <row r="2" customFormat="false" ht="15" hidden="false" customHeight="false" outlineLevel="0" collapsed="false">
      <c r="B2" s="3" t="s">
        <v>1</v>
      </c>
      <c r="C2" s="4" t="s">
        <v>2</v>
      </c>
    </row>
    <row r="3" customFormat="false" ht="15" hidden="false" customHeight="false" outlineLevel="0" collapsed="false">
      <c r="B3" s="3" t="s">
        <v>3</v>
      </c>
      <c r="C3" s="4" t="s">
        <v>4</v>
      </c>
    </row>
    <row r="6" customFormat="false" ht="19.5" hidden="false" customHeight="true" outlineLevel="0" collapsed="false">
      <c r="B6" s="5" t="s">
        <v>5</v>
      </c>
      <c r="C6" s="6"/>
    </row>
    <row r="7" customFormat="false" ht="25.5" hidden="false" customHeight="true" outlineLevel="0" collapsed="false">
      <c r="B7" s="3" t="s">
        <v>6</v>
      </c>
      <c r="C7" s="4" t="s">
        <v>7</v>
      </c>
    </row>
    <row r="8" customFormat="false" ht="15" hidden="false" customHeight="true" outlineLevel="0" collapsed="false">
      <c r="B8" s="3" t="s">
        <v>8</v>
      </c>
      <c r="C8" s="4" t="s">
        <v>9</v>
      </c>
    </row>
    <row r="9" customFormat="false" ht="25.5" hidden="false" customHeight="true" outlineLevel="0" collapsed="false">
      <c r="B9" s="3" t="s">
        <v>10</v>
      </c>
      <c r="C9" s="4" t="s">
        <v>11</v>
      </c>
    </row>
    <row r="10" customFormat="false" ht="15" hidden="false" customHeight="true" outlineLevel="0" collapsed="false">
      <c r="B10" s="3" t="s">
        <v>12</v>
      </c>
      <c r="C10" s="4" t="s">
        <v>13</v>
      </c>
    </row>
    <row r="11" customFormat="false" ht="25.5" hidden="false" customHeight="true" outlineLevel="0" collapsed="false">
      <c r="B11" s="3" t="s">
        <v>14</v>
      </c>
      <c r="C11" s="4" t="s">
        <v>15</v>
      </c>
    </row>
    <row r="12" customFormat="false" ht="15" hidden="false" customHeight="true" outlineLevel="0" collapsed="false">
      <c r="B12" s="3" t="s">
        <v>16</v>
      </c>
      <c r="C12" s="4" t="s">
        <v>17</v>
      </c>
    </row>
    <row r="13" customFormat="false" ht="15" hidden="false" customHeight="true" outlineLevel="0" collapsed="false">
      <c r="B13" s="3" t="s">
        <v>18</v>
      </c>
      <c r="C13" s="4" t="s">
        <v>19</v>
      </c>
    </row>
    <row r="14" customFormat="false" ht="25.5" hidden="false" customHeight="true" outlineLevel="0" collapsed="false">
      <c r="B14" s="3" t="s">
        <v>20</v>
      </c>
      <c r="C14" s="4" t="s">
        <v>21</v>
      </c>
    </row>
    <row r="15" customFormat="false" ht="15" hidden="false" customHeight="true" outlineLevel="0" collapsed="false">
      <c r="B15" s="3" t="s">
        <v>22</v>
      </c>
      <c r="C15" s="4" t="s">
        <v>23</v>
      </c>
    </row>
    <row r="17" customFormat="false" ht="19.5" hidden="false" customHeight="true" outlineLevel="0" collapsed="false">
      <c r="B17" s="5" t="s">
        <v>24</v>
      </c>
      <c r="C17" s="6"/>
    </row>
    <row r="18" customFormat="false" ht="39" hidden="false" customHeight="true" outlineLevel="0" collapsed="false">
      <c r="B18" s="3" t="s">
        <v>25</v>
      </c>
      <c r="C18" s="4" t="s">
        <v>26</v>
      </c>
    </row>
    <row r="19" customFormat="false" ht="25.5" hidden="false" customHeight="true" outlineLevel="0" collapsed="false">
      <c r="B19" s="3" t="s">
        <v>27</v>
      </c>
      <c r="C19" s="4" t="s">
        <v>28</v>
      </c>
    </row>
    <row r="20" customFormat="false" ht="39" hidden="false" customHeight="true" outlineLevel="0" collapsed="false">
      <c r="B20" s="3" t="s">
        <v>29</v>
      </c>
      <c r="C20" s="4" t="s">
        <v>30</v>
      </c>
    </row>
    <row r="21" customFormat="false" ht="39" hidden="false" customHeight="true" outlineLevel="0" collapsed="false">
      <c r="B21" s="3" t="s">
        <v>31</v>
      </c>
      <c r="C21" s="4" t="s">
        <v>32</v>
      </c>
    </row>
    <row r="22" customFormat="false" ht="25.5" hidden="false" customHeight="true" outlineLevel="0" collapsed="false">
      <c r="B22" s="3" t="s">
        <v>33</v>
      </c>
      <c r="C22" s="4" t="s">
        <v>34</v>
      </c>
    </row>
    <row r="23" customFormat="false" ht="25.5" hidden="false" customHeight="true" outlineLevel="0" collapsed="false">
      <c r="B23" s="3" t="s">
        <v>35</v>
      </c>
      <c r="C23" s="4" t="s">
        <v>36</v>
      </c>
    </row>
    <row r="25" customFormat="false" ht="19.5" hidden="false" customHeight="true" outlineLevel="0" collapsed="false">
      <c r="B25" s="5" t="s">
        <v>37</v>
      </c>
      <c r="C25" s="6"/>
    </row>
    <row r="26" customFormat="false" ht="15" hidden="false" customHeight="true" outlineLevel="0" collapsed="false">
      <c r="B26" s="3" t="s">
        <v>38</v>
      </c>
      <c r="C26" s="4" t="s">
        <v>39</v>
      </c>
    </row>
    <row r="27" customFormat="false" ht="15" hidden="false" customHeight="true" outlineLevel="0" collapsed="false">
      <c r="B27" s="3" t="s">
        <v>40</v>
      </c>
      <c r="C27" s="4" t="s">
        <v>41</v>
      </c>
    </row>
    <row r="28" customFormat="false" ht="39" hidden="false" customHeight="true" outlineLevel="0" collapsed="false">
      <c r="B28" s="3" t="s">
        <v>42</v>
      </c>
      <c r="C28" s="4" t="s">
        <v>43</v>
      </c>
    </row>
    <row r="29" customFormat="false" ht="39" hidden="false" customHeight="true" outlineLevel="0" collapsed="false">
      <c r="B29" s="3" t="s">
        <v>44</v>
      </c>
      <c r="C29" s="4" t="s">
        <v>45</v>
      </c>
    </row>
    <row r="30" customFormat="false" ht="15" hidden="false" customHeight="true" outlineLevel="0" collapsed="false">
      <c r="B30" s="3" t="s">
        <v>46</v>
      </c>
      <c r="C30" s="4" t="s">
        <v>47</v>
      </c>
    </row>
    <row r="32" customFormat="false" ht="19.5" hidden="false" customHeight="true" outlineLevel="0" collapsed="false">
      <c r="B32" s="5" t="s">
        <v>48</v>
      </c>
      <c r="C32" s="6"/>
    </row>
    <row r="33" customFormat="false" ht="64.5" hidden="false" customHeight="true" outlineLevel="0" collapsed="false">
      <c r="B33" s="3" t="s">
        <v>49</v>
      </c>
      <c r="C33" s="4" t="s">
        <v>50</v>
      </c>
    </row>
    <row r="34" customFormat="false" ht="78" hidden="false" customHeight="true" outlineLevel="0" collapsed="false">
      <c r="B34" s="3" t="s">
        <v>51</v>
      </c>
      <c r="C34" s="4" t="s">
        <v>52</v>
      </c>
    </row>
    <row r="35" customFormat="false" ht="39" hidden="false" customHeight="true" outlineLevel="0" collapsed="false">
      <c r="B35" s="3" t="s">
        <v>53</v>
      </c>
      <c r="C35" s="4" t="s">
        <v>54</v>
      </c>
    </row>
    <row r="36" customFormat="false" ht="51.75" hidden="false" customHeight="true" outlineLevel="0" collapsed="false">
      <c r="B36" s="3" t="s">
        <v>55</v>
      </c>
      <c r="C36" s="4" t="s">
        <v>56</v>
      </c>
    </row>
    <row r="38" customFormat="false" ht="19.5" hidden="false" customHeight="true" outlineLevel="0" collapsed="false">
      <c r="B38" s="5" t="s">
        <v>57</v>
      </c>
      <c r="C38" s="6"/>
    </row>
    <row r="39" customFormat="false" ht="25.5" hidden="false" customHeight="true" outlineLevel="0" collapsed="false">
      <c r="B39" s="3" t="s">
        <v>58</v>
      </c>
      <c r="C39" s="4"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46"/>
    <col collapsed="false" customWidth="true" hidden="false" outlineLevel="0" max="4" min="4" style="0" width="22"/>
  </cols>
  <sheetData>
    <row r="1" customFormat="false" ht="24" hidden="false" customHeight="true" outlineLevel="0" collapsed="false">
      <c r="A1" s="1" t="s">
        <v>60</v>
      </c>
      <c r="B1" s="2"/>
      <c r="C1" s="2"/>
      <c r="D1" s="2"/>
    </row>
    <row r="2" customFormat="false" ht="15" hidden="false" customHeight="false" outlineLevel="0" collapsed="false">
      <c r="A2" s="7" t="s">
        <v>61</v>
      </c>
    </row>
    <row r="4" customFormat="false" ht="19.5" hidden="false" customHeight="true" outlineLevel="0" collapsed="false">
      <c r="A4" s="8" t="s">
        <v>62</v>
      </c>
      <c r="B4" s="8" t="s">
        <v>63</v>
      </c>
      <c r="C4" s="2"/>
      <c r="D4" s="2"/>
    </row>
    <row r="5" customFormat="false" ht="30" hidden="false" customHeight="true" outlineLevel="0" collapsed="false">
      <c r="A5" s="9" t="s">
        <v>64</v>
      </c>
      <c r="B5" s="9" t="s">
        <v>65</v>
      </c>
      <c r="C5" s="9" t="s">
        <v>66</v>
      </c>
      <c r="D5" s="9" t="s">
        <v>67</v>
      </c>
    </row>
    <row r="6" customFormat="false" ht="15" hidden="false" customHeight="true" outlineLevel="0" collapsed="false">
      <c r="A6" s="10" t="s">
        <v>68</v>
      </c>
      <c r="B6" s="11" t="s">
        <v>69</v>
      </c>
      <c r="C6" s="11" t="s">
        <v>70</v>
      </c>
      <c r="D6" s="12" t="s">
        <v>71</v>
      </c>
    </row>
    <row r="7" customFormat="false" ht="24" hidden="false" customHeight="true" outlineLevel="0" collapsed="false">
      <c r="A7" s="10" t="s">
        <v>72</v>
      </c>
      <c r="B7" s="11" t="s">
        <v>73</v>
      </c>
      <c r="C7" s="11" t="s">
        <v>74</v>
      </c>
      <c r="D7" s="12"/>
    </row>
    <row r="8" customFormat="false" ht="24" hidden="false" customHeight="true" outlineLevel="0" collapsed="false">
      <c r="A8" s="10" t="s">
        <v>75</v>
      </c>
      <c r="B8" s="11" t="s">
        <v>76</v>
      </c>
      <c r="C8" s="11" t="s">
        <v>77</v>
      </c>
      <c r="D8" s="12"/>
    </row>
    <row r="9" customFormat="false" ht="15" hidden="false" customHeight="true" outlineLevel="0" collapsed="false">
      <c r="A9" s="10" t="s">
        <v>78</v>
      </c>
      <c r="B9" s="11" t="s">
        <v>79</v>
      </c>
      <c r="C9" s="11"/>
      <c r="D9" s="12"/>
    </row>
    <row r="10" customFormat="false" ht="15" hidden="false" customHeight="true" outlineLevel="0" collapsed="false">
      <c r="A10" s="10" t="s">
        <v>80</v>
      </c>
      <c r="B10" s="11" t="s">
        <v>81</v>
      </c>
      <c r="C10" s="11" t="s">
        <v>82</v>
      </c>
      <c r="D10" s="12" t="s">
        <v>83</v>
      </c>
    </row>
    <row r="11" customFormat="false" ht="15" hidden="false" customHeight="true" outlineLevel="0" collapsed="false">
      <c r="A11" s="10" t="s">
        <v>84</v>
      </c>
      <c r="B11" s="11" t="s">
        <v>85</v>
      </c>
      <c r="C11" s="11"/>
      <c r="D11" s="12"/>
    </row>
    <row r="12" customFormat="false" ht="15" hidden="false" customHeight="true" outlineLevel="0" collapsed="false">
      <c r="A12" s="10" t="s">
        <v>86</v>
      </c>
      <c r="B12" s="11" t="s">
        <v>87</v>
      </c>
      <c r="C12" s="11" t="s">
        <v>88</v>
      </c>
      <c r="D12" s="12"/>
    </row>
    <row r="13" customFormat="false" ht="15" hidden="false" customHeight="true" outlineLevel="0" collapsed="false">
      <c r="A13" s="10" t="s">
        <v>89</v>
      </c>
      <c r="B13" s="11" t="s">
        <v>90</v>
      </c>
      <c r="C13" s="11"/>
      <c r="D13" s="12"/>
    </row>
    <row r="14" customFormat="false" ht="15" hidden="false" customHeight="true" outlineLevel="0" collapsed="false">
      <c r="A14" s="10" t="s">
        <v>91</v>
      </c>
      <c r="B14" s="11" t="s">
        <v>92</v>
      </c>
      <c r="C14" s="11" t="s">
        <v>93</v>
      </c>
      <c r="D14" s="12" t="s">
        <v>94</v>
      </c>
    </row>
    <row r="15" customFormat="false" ht="15" hidden="false" customHeight="true" outlineLevel="0" collapsed="false">
      <c r="A15" s="10" t="s">
        <v>95</v>
      </c>
      <c r="B15" s="11" t="s">
        <v>96</v>
      </c>
      <c r="C15" s="11" t="s">
        <v>97</v>
      </c>
      <c r="D15" s="12"/>
    </row>
    <row r="16" customFormat="false" ht="15" hidden="false" customHeight="true" outlineLevel="0" collapsed="false">
      <c r="A16" s="10" t="s">
        <v>98</v>
      </c>
      <c r="B16" s="11" t="s">
        <v>99</v>
      </c>
      <c r="C16" s="11" t="s">
        <v>100</v>
      </c>
      <c r="D16" s="12"/>
    </row>
    <row r="17" customFormat="false" ht="15" hidden="false" customHeight="true" outlineLevel="0" collapsed="false">
      <c r="A17" s="10" t="s">
        <v>101</v>
      </c>
      <c r="B17" s="11" t="s">
        <v>102</v>
      </c>
      <c r="C17" s="11" t="s">
        <v>97</v>
      </c>
      <c r="D17" s="12"/>
    </row>
    <row r="18" customFormat="false" ht="15" hidden="false" customHeight="true" outlineLevel="0" collapsed="false">
      <c r="A18" s="10" t="s">
        <v>103</v>
      </c>
      <c r="B18" s="11" t="s">
        <v>104</v>
      </c>
      <c r="C18" s="11" t="s">
        <v>105</v>
      </c>
      <c r="D18" s="12" t="s">
        <v>106</v>
      </c>
    </row>
    <row r="19" customFormat="false" ht="15" hidden="false" customHeight="true" outlineLevel="0" collapsed="false">
      <c r="A19" s="10" t="s">
        <v>107</v>
      </c>
      <c r="B19" s="11" t="s">
        <v>108</v>
      </c>
      <c r="C19" s="11" t="s">
        <v>109</v>
      </c>
      <c r="D19" s="12"/>
    </row>
    <row r="20" customFormat="false" ht="24" hidden="false" customHeight="true" outlineLevel="0" collapsed="false">
      <c r="A20" s="10" t="s">
        <v>110</v>
      </c>
      <c r="B20" s="11" t="s">
        <v>111</v>
      </c>
      <c r="C20" s="11" t="s">
        <v>112</v>
      </c>
      <c r="D20" s="12" t="s">
        <v>113</v>
      </c>
    </row>
    <row r="21" customFormat="false" ht="15" hidden="false" customHeight="true" outlineLevel="0" collapsed="false">
      <c r="A21" s="10" t="s">
        <v>114</v>
      </c>
      <c r="B21" s="11" t="s">
        <v>115</v>
      </c>
      <c r="C21" s="11" t="s">
        <v>116</v>
      </c>
      <c r="D21" s="12"/>
    </row>
    <row r="22" customFormat="false" ht="15" hidden="false" customHeight="true" outlineLevel="0" collapsed="false">
      <c r="A22" s="10" t="s">
        <v>117</v>
      </c>
      <c r="B22" s="11" t="s">
        <v>118</v>
      </c>
      <c r="C22" s="11" t="s">
        <v>119</v>
      </c>
      <c r="D22" s="12"/>
    </row>
    <row r="23" customFormat="false" ht="15" hidden="false" customHeight="true" outlineLevel="0" collapsed="false">
      <c r="A23" s="10" t="s">
        <v>120</v>
      </c>
      <c r="B23" s="11" t="s">
        <v>121</v>
      </c>
      <c r="C23" s="11"/>
      <c r="D23" s="12"/>
    </row>
    <row r="24" customFormat="false" ht="15" hidden="false" customHeight="true" outlineLevel="0" collapsed="false">
      <c r="A24" s="10" t="s">
        <v>122</v>
      </c>
      <c r="B24" s="11" t="s">
        <v>123</v>
      </c>
      <c r="C24" s="11" t="s">
        <v>124</v>
      </c>
      <c r="D24" s="12"/>
    </row>
    <row r="26" customFormat="false" ht="19.5" hidden="false" customHeight="true" outlineLevel="0" collapsed="false">
      <c r="A26" s="8" t="s">
        <v>125</v>
      </c>
      <c r="B26" s="8" t="s">
        <v>126</v>
      </c>
      <c r="C26" s="2"/>
      <c r="D26" s="2"/>
    </row>
    <row r="27" customFormat="false" ht="30" hidden="false" customHeight="true" outlineLevel="0" collapsed="false">
      <c r="A27" s="9" t="s">
        <v>64</v>
      </c>
      <c r="B27" s="9" t="s">
        <v>65</v>
      </c>
      <c r="C27" s="9" t="s">
        <v>66</v>
      </c>
      <c r="D27" s="9" t="s">
        <v>67</v>
      </c>
    </row>
    <row r="28" customFormat="false" ht="15" hidden="false" customHeight="true" outlineLevel="0" collapsed="false">
      <c r="A28" s="10" t="s">
        <v>68</v>
      </c>
      <c r="B28" s="11" t="s">
        <v>69</v>
      </c>
      <c r="C28" s="11" t="s">
        <v>127</v>
      </c>
      <c r="D28" s="12" t="s">
        <v>128</v>
      </c>
    </row>
    <row r="29" customFormat="false" ht="15" hidden="false" customHeight="true" outlineLevel="0" collapsed="false">
      <c r="A29" s="10" t="s">
        <v>72</v>
      </c>
      <c r="B29" s="11" t="s">
        <v>73</v>
      </c>
      <c r="C29" s="11"/>
      <c r="D29" s="12"/>
    </row>
    <row r="30" customFormat="false" ht="15" hidden="false" customHeight="true" outlineLevel="0" collapsed="false">
      <c r="A30" s="10" t="s">
        <v>75</v>
      </c>
      <c r="B30" s="11" t="s">
        <v>76</v>
      </c>
      <c r="C30" s="11" t="s">
        <v>129</v>
      </c>
      <c r="D30" s="12"/>
    </row>
    <row r="31" customFormat="false" ht="15" hidden="false" customHeight="true" outlineLevel="0" collapsed="false">
      <c r="A31" s="10" t="s">
        <v>80</v>
      </c>
      <c r="B31" s="11" t="s">
        <v>130</v>
      </c>
      <c r="C31" s="11" t="s">
        <v>131</v>
      </c>
      <c r="D31" s="12" t="s">
        <v>132</v>
      </c>
    </row>
    <row r="32" customFormat="false" ht="15" hidden="false" customHeight="true" outlineLevel="0" collapsed="false">
      <c r="A32" s="10" t="s">
        <v>86</v>
      </c>
      <c r="B32" s="11" t="s">
        <v>87</v>
      </c>
      <c r="C32" s="11"/>
      <c r="D32" s="12"/>
    </row>
    <row r="33" customFormat="false" ht="15" hidden="false" customHeight="true" outlineLevel="0" collapsed="false">
      <c r="A33" s="10" t="s">
        <v>91</v>
      </c>
      <c r="B33" s="11" t="s">
        <v>92</v>
      </c>
      <c r="C33" s="11"/>
      <c r="D33" s="12" t="s">
        <v>133</v>
      </c>
    </row>
    <row r="34" customFormat="false" ht="15" hidden="false" customHeight="true" outlineLevel="0" collapsed="false">
      <c r="A34" s="10" t="s">
        <v>95</v>
      </c>
      <c r="B34" s="11" t="s">
        <v>96</v>
      </c>
      <c r="C34" s="11" t="s">
        <v>97</v>
      </c>
      <c r="D34" s="12"/>
    </row>
    <row r="35" customFormat="false" ht="15" hidden="false" customHeight="true" outlineLevel="0" collapsed="false">
      <c r="A35" s="10" t="s">
        <v>98</v>
      </c>
      <c r="B35" s="11" t="s">
        <v>99</v>
      </c>
      <c r="C35" s="11"/>
      <c r="D35" s="12"/>
    </row>
    <row r="36" customFormat="false" ht="15" hidden="false" customHeight="true" outlineLevel="0" collapsed="false">
      <c r="A36" s="10" t="s">
        <v>101</v>
      </c>
      <c r="B36" s="11" t="s">
        <v>102</v>
      </c>
      <c r="C36" s="11" t="s">
        <v>97</v>
      </c>
      <c r="D36" s="12"/>
    </row>
    <row r="37" customFormat="false" ht="15" hidden="false" customHeight="true" outlineLevel="0" collapsed="false">
      <c r="A37" s="10" t="s">
        <v>103</v>
      </c>
      <c r="B37" s="11" t="s">
        <v>104</v>
      </c>
      <c r="C37" s="11" t="s">
        <v>134</v>
      </c>
      <c r="D37" s="12" t="s">
        <v>135</v>
      </c>
    </row>
    <row r="38" customFormat="false" ht="15" hidden="false" customHeight="true" outlineLevel="0" collapsed="false">
      <c r="A38" s="10" t="s">
        <v>136</v>
      </c>
      <c r="B38" s="11" t="s">
        <v>137</v>
      </c>
      <c r="C38" s="11" t="s">
        <v>138</v>
      </c>
      <c r="D38" s="12"/>
    </row>
    <row r="39" customFormat="false" ht="15" hidden="false" customHeight="true" outlineLevel="0" collapsed="false">
      <c r="A39" s="10" t="s">
        <v>139</v>
      </c>
      <c r="B39" s="11" t="s">
        <v>115</v>
      </c>
      <c r="C39" s="11" t="s">
        <v>116</v>
      </c>
      <c r="D39" s="12" t="s">
        <v>140</v>
      </c>
    </row>
    <row r="40" customFormat="false" ht="15" hidden="false" customHeight="true" outlineLevel="0" collapsed="false">
      <c r="A40" s="10" t="s">
        <v>141</v>
      </c>
      <c r="B40" s="11" t="s">
        <v>142</v>
      </c>
      <c r="C40" s="11" t="s">
        <v>143</v>
      </c>
      <c r="D40" s="12"/>
    </row>
    <row r="41" customFormat="false" ht="15" hidden="false" customHeight="true" outlineLevel="0" collapsed="false">
      <c r="A41" s="10" t="s">
        <v>144</v>
      </c>
      <c r="B41" s="11" t="s">
        <v>145</v>
      </c>
      <c r="C41" s="11"/>
      <c r="D41" s="12"/>
    </row>
    <row r="42" customFormat="false" ht="15" hidden="false" customHeight="true" outlineLevel="0" collapsed="false">
      <c r="A42" s="10" t="s">
        <v>146</v>
      </c>
      <c r="B42" s="11" t="s">
        <v>147</v>
      </c>
      <c r="C42" s="11"/>
      <c r="D42" s="12"/>
    </row>
    <row r="43" customFormat="false" ht="15" hidden="false" customHeight="true" outlineLevel="0" collapsed="false">
      <c r="A43" s="10" t="s">
        <v>148</v>
      </c>
      <c r="B43" s="11" t="s">
        <v>123</v>
      </c>
      <c r="C43" s="11" t="s">
        <v>149</v>
      </c>
      <c r="D43" s="12"/>
    </row>
    <row r="45" customFormat="false" ht="19.5" hidden="false" customHeight="true" outlineLevel="0" collapsed="false">
      <c r="A45" s="8" t="s">
        <v>150</v>
      </c>
      <c r="B45" s="8" t="s">
        <v>151</v>
      </c>
      <c r="C45" s="2"/>
      <c r="D45" s="2"/>
    </row>
    <row r="46" customFormat="false" ht="30" hidden="false" customHeight="true" outlineLevel="0" collapsed="false">
      <c r="A46" s="9" t="s">
        <v>64</v>
      </c>
      <c r="B46" s="9" t="s">
        <v>65</v>
      </c>
      <c r="C46" s="9" t="s">
        <v>66</v>
      </c>
      <c r="D46" s="9" t="s">
        <v>67</v>
      </c>
    </row>
    <row r="47" customFormat="false" ht="15" hidden="false" customHeight="true" outlineLevel="0" collapsed="false">
      <c r="A47" s="10" t="s">
        <v>68</v>
      </c>
      <c r="B47" s="11" t="s">
        <v>69</v>
      </c>
      <c r="C47" s="11" t="s">
        <v>127</v>
      </c>
      <c r="D47" s="12" t="s">
        <v>128</v>
      </c>
    </row>
    <row r="48" customFormat="false" ht="15" hidden="false" customHeight="true" outlineLevel="0" collapsed="false">
      <c r="A48" s="10" t="s">
        <v>72</v>
      </c>
      <c r="B48" s="11" t="s">
        <v>73</v>
      </c>
      <c r="C48" s="11"/>
      <c r="D48" s="12"/>
    </row>
    <row r="49" customFormat="false" ht="15" hidden="false" customHeight="true" outlineLevel="0" collapsed="false">
      <c r="A49" s="10" t="s">
        <v>75</v>
      </c>
      <c r="B49" s="11" t="s">
        <v>76</v>
      </c>
      <c r="C49" s="11" t="s">
        <v>129</v>
      </c>
      <c r="D49" s="12"/>
    </row>
    <row r="50" customFormat="false" ht="24" hidden="false" customHeight="true" outlineLevel="0" collapsed="false">
      <c r="A50" s="10" t="s">
        <v>80</v>
      </c>
      <c r="B50" s="11" t="s">
        <v>152</v>
      </c>
      <c r="C50" s="11" t="s">
        <v>153</v>
      </c>
      <c r="D50" s="12" t="s">
        <v>132</v>
      </c>
    </row>
    <row r="51" customFormat="false" ht="15" hidden="false" customHeight="true" outlineLevel="0" collapsed="false">
      <c r="A51" s="10" t="s">
        <v>86</v>
      </c>
      <c r="B51" s="11" t="s">
        <v>87</v>
      </c>
      <c r="C51" s="11"/>
      <c r="D51" s="12"/>
    </row>
    <row r="52" customFormat="false" ht="15" hidden="false" customHeight="true" outlineLevel="0" collapsed="false">
      <c r="A52" s="10" t="s">
        <v>91</v>
      </c>
      <c r="B52" s="11" t="s">
        <v>92</v>
      </c>
      <c r="C52" s="11"/>
      <c r="D52" s="12" t="s">
        <v>133</v>
      </c>
    </row>
    <row r="53" customFormat="false" ht="15" hidden="false" customHeight="true" outlineLevel="0" collapsed="false">
      <c r="A53" s="10" t="s">
        <v>95</v>
      </c>
      <c r="B53" s="11" t="s">
        <v>96</v>
      </c>
      <c r="C53" s="11" t="s">
        <v>97</v>
      </c>
      <c r="D53" s="12"/>
    </row>
    <row r="54" customFormat="false" ht="15" hidden="false" customHeight="true" outlineLevel="0" collapsed="false">
      <c r="A54" s="10" t="s">
        <v>98</v>
      </c>
      <c r="B54" s="11" t="s">
        <v>99</v>
      </c>
      <c r="C54" s="11"/>
      <c r="D54" s="12"/>
    </row>
    <row r="55" customFormat="false" ht="15" hidden="false" customHeight="true" outlineLevel="0" collapsed="false">
      <c r="A55" s="10" t="s">
        <v>101</v>
      </c>
      <c r="B55" s="11" t="s">
        <v>102</v>
      </c>
      <c r="C55" s="11" t="s">
        <v>97</v>
      </c>
      <c r="D55" s="12"/>
    </row>
    <row r="56" customFormat="false" ht="15" hidden="false" customHeight="true" outlineLevel="0" collapsed="false">
      <c r="A56" s="10" t="s">
        <v>103</v>
      </c>
      <c r="B56" s="11" t="s">
        <v>104</v>
      </c>
      <c r="C56" s="11" t="s">
        <v>154</v>
      </c>
      <c r="D56" s="12" t="s">
        <v>135</v>
      </c>
    </row>
    <row r="57" customFormat="false" ht="15" hidden="false" customHeight="true" outlineLevel="0" collapsed="false">
      <c r="A57" s="10" t="s">
        <v>155</v>
      </c>
      <c r="B57" s="11" t="s">
        <v>156</v>
      </c>
      <c r="C57" s="11" t="s">
        <v>157</v>
      </c>
      <c r="D57" s="12" t="s">
        <v>140</v>
      </c>
    </row>
    <row r="58" customFormat="false" ht="15" hidden="false" customHeight="true" outlineLevel="0" collapsed="false">
      <c r="A58" s="10" t="s">
        <v>158</v>
      </c>
      <c r="B58" s="11" t="s">
        <v>159</v>
      </c>
      <c r="C58" s="11" t="s">
        <v>160</v>
      </c>
      <c r="D58" s="12"/>
    </row>
    <row r="59" customFormat="false" ht="15" hidden="false" customHeight="true" outlineLevel="0" collapsed="false">
      <c r="A59" s="10" t="s">
        <v>161</v>
      </c>
      <c r="B59" s="11" t="s">
        <v>115</v>
      </c>
      <c r="C59" s="11" t="s">
        <v>116</v>
      </c>
      <c r="D59" s="12"/>
    </row>
    <row r="60" customFormat="false" ht="15" hidden="false" customHeight="true" outlineLevel="0" collapsed="false">
      <c r="A60" s="10" t="s">
        <v>162</v>
      </c>
      <c r="B60" s="11" t="s">
        <v>118</v>
      </c>
      <c r="C60" s="11" t="s">
        <v>143</v>
      </c>
      <c r="D60" s="12"/>
    </row>
    <row r="61" customFormat="false" ht="15" hidden="false" customHeight="true" outlineLevel="0" collapsed="false">
      <c r="A61" s="10" t="s">
        <v>163</v>
      </c>
      <c r="B61" s="11" t="s">
        <v>164</v>
      </c>
      <c r="C61" s="11"/>
      <c r="D61" s="12"/>
    </row>
    <row r="62" customFormat="false" ht="15" hidden="false" customHeight="true" outlineLevel="0" collapsed="false">
      <c r="A62" s="10" t="s">
        <v>148</v>
      </c>
      <c r="B62" s="11" t="s">
        <v>123</v>
      </c>
      <c r="C62" s="11" t="s">
        <v>149</v>
      </c>
      <c r="D62" s="12"/>
    </row>
    <row r="64" customFormat="false" ht="19.5" hidden="false" customHeight="true" outlineLevel="0" collapsed="false">
      <c r="A64" s="8" t="s">
        <v>165</v>
      </c>
      <c r="B64" s="8" t="s">
        <v>166</v>
      </c>
      <c r="C64" s="2"/>
      <c r="D64" s="2"/>
    </row>
    <row r="65" customFormat="false" ht="30" hidden="false" customHeight="true" outlineLevel="0" collapsed="false">
      <c r="A65" s="9" t="s">
        <v>64</v>
      </c>
      <c r="B65" s="9" t="s">
        <v>65</v>
      </c>
      <c r="C65" s="9" t="s">
        <v>66</v>
      </c>
      <c r="D65" s="9" t="s">
        <v>67</v>
      </c>
    </row>
    <row r="66" customFormat="false" ht="15" hidden="false" customHeight="true" outlineLevel="0" collapsed="false">
      <c r="A66" s="10" t="s">
        <v>68</v>
      </c>
      <c r="B66" s="11" t="s">
        <v>69</v>
      </c>
      <c r="C66" s="11" t="s">
        <v>127</v>
      </c>
      <c r="D66" s="12" t="s">
        <v>128</v>
      </c>
    </row>
    <row r="67" customFormat="false" ht="15" hidden="false" customHeight="true" outlineLevel="0" collapsed="false">
      <c r="A67" s="10" t="s">
        <v>72</v>
      </c>
      <c r="B67" s="11" t="s">
        <v>73</v>
      </c>
      <c r="C67" s="11"/>
      <c r="D67" s="12"/>
    </row>
    <row r="68" customFormat="false" ht="15" hidden="false" customHeight="true" outlineLevel="0" collapsed="false">
      <c r="A68" s="10" t="s">
        <v>75</v>
      </c>
      <c r="B68" s="11" t="s">
        <v>76</v>
      </c>
      <c r="C68" s="11" t="s">
        <v>129</v>
      </c>
      <c r="D68" s="12"/>
    </row>
    <row r="69" customFormat="false" ht="24" hidden="false" customHeight="true" outlineLevel="0" collapsed="false">
      <c r="A69" s="10" t="s">
        <v>80</v>
      </c>
      <c r="B69" s="11" t="s">
        <v>167</v>
      </c>
      <c r="C69" s="11" t="s">
        <v>168</v>
      </c>
      <c r="D69" s="12" t="s">
        <v>132</v>
      </c>
    </row>
    <row r="70" customFormat="false" ht="15" hidden="false" customHeight="true" outlineLevel="0" collapsed="false">
      <c r="A70" s="10" t="s">
        <v>169</v>
      </c>
      <c r="B70" s="11" t="s">
        <v>87</v>
      </c>
      <c r="C70" s="11"/>
      <c r="D70" s="12"/>
    </row>
    <row r="71" customFormat="false" ht="15" hidden="false" customHeight="true" outlineLevel="0" collapsed="false">
      <c r="A71" s="10" t="s">
        <v>91</v>
      </c>
      <c r="B71" s="11" t="s">
        <v>92</v>
      </c>
      <c r="C71" s="11"/>
      <c r="D71" s="12" t="s">
        <v>133</v>
      </c>
    </row>
    <row r="72" customFormat="false" ht="15" hidden="false" customHeight="true" outlineLevel="0" collapsed="false">
      <c r="A72" s="10" t="s">
        <v>95</v>
      </c>
      <c r="B72" s="11" t="s">
        <v>96</v>
      </c>
      <c r="C72" s="11" t="s">
        <v>97</v>
      </c>
      <c r="D72" s="12"/>
    </row>
    <row r="73" customFormat="false" ht="15" hidden="false" customHeight="true" outlineLevel="0" collapsed="false">
      <c r="A73" s="10" t="s">
        <v>98</v>
      </c>
      <c r="B73" s="11" t="s">
        <v>99</v>
      </c>
      <c r="C73" s="11" t="s">
        <v>170</v>
      </c>
      <c r="D73" s="12"/>
    </row>
    <row r="74" customFormat="false" ht="15" hidden="false" customHeight="true" outlineLevel="0" collapsed="false">
      <c r="A74" s="10" t="s">
        <v>101</v>
      </c>
      <c r="B74" s="11" t="s">
        <v>102</v>
      </c>
      <c r="C74" s="11" t="s">
        <v>97</v>
      </c>
      <c r="D74" s="12"/>
    </row>
    <row r="75" customFormat="false" ht="15" hidden="false" customHeight="true" outlineLevel="0" collapsed="false">
      <c r="A75" s="10" t="s">
        <v>103</v>
      </c>
      <c r="B75" s="11" t="s">
        <v>104</v>
      </c>
      <c r="C75" s="11" t="s">
        <v>134</v>
      </c>
      <c r="D75" s="12" t="s">
        <v>135</v>
      </c>
    </row>
    <row r="76" customFormat="false" ht="24" hidden="false" customHeight="true" outlineLevel="0" collapsed="false">
      <c r="A76" s="10" t="s">
        <v>136</v>
      </c>
      <c r="B76" s="11" t="s">
        <v>137</v>
      </c>
      <c r="C76" s="11" t="s">
        <v>171</v>
      </c>
      <c r="D76" s="12"/>
    </row>
    <row r="77" customFormat="false" ht="24" hidden="false" customHeight="true" outlineLevel="0" collapsed="false">
      <c r="A77" s="10" t="s">
        <v>139</v>
      </c>
      <c r="B77" s="11" t="s">
        <v>115</v>
      </c>
      <c r="C77" s="11" t="s">
        <v>172</v>
      </c>
      <c r="D77" s="12" t="s">
        <v>140</v>
      </c>
    </row>
    <row r="78" customFormat="false" ht="15" hidden="false" customHeight="true" outlineLevel="0" collapsed="false">
      <c r="A78" s="10" t="s">
        <v>141</v>
      </c>
      <c r="B78" s="11" t="s">
        <v>142</v>
      </c>
      <c r="C78" s="11" t="s">
        <v>143</v>
      </c>
      <c r="D78" s="12"/>
    </row>
    <row r="79" customFormat="false" ht="15" hidden="false" customHeight="true" outlineLevel="0" collapsed="false">
      <c r="A79" s="10" t="s">
        <v>144</v>
      </c>
      <c r="B79" s="11" t="s">
        <v>145</v>
      </c>
      <c r="C79" s="11"/>
      <c r="D79" s="12"/>
    </row>
    <row r="80" customFormat="false" ht="15" hidden="false" customHeight="true" outlineLevel="0" collapsed="false">
      <c r="A80" s="10" t="s">
        <v>148</v>
      </c>
      <c r="B80" s="11" t="s">
        <v>123</v>
      </c>
      <c r="C80" s="11" t="s">
        <v>149</v>
      </c>
      <c r="D80" s="12"/>
    </row>
    <row r="82" customFormat="false" ht="19.5" hidden="false" customHeight="true" outlineLevel="0" collapsed="false">
      <c r="A82" s="8" t="s">
        <v>173</v>
      </c>
      <c r="B82" s="8" t="s">
        <v>174</v>
      </c>
      <c r="C82" s="2"/>
      <c r="D82" s="2"/>
    </row>
    <row r="83" customFormat="false" ht="30" hidden="false" customHeight="true" outlineLevel="0" collapsed="false">
      <c r="A83" s="9" t="s">
        <v>64</v>
      </c>
      <c r="B83" s="9" t="s">
        <v>65</v>
      </c>
      <c r="C83" s="9" t="s">
        <v>66</v>
      </c>
      <c r="D83" s="9" t="s">
        <v>67</v>
      </c>
    </row>
    <row r="84" customFormat="false" ht="24" hidden="false" customHeight="true" outlineLevel="0" collapsed="false">
      <c r="A84" s="10" t="s">
        <v>68</v>
      </c>
      <c r="B84" s="11" t="s">
        <v>69</v>
      </c>
      <c r="C84" s="11" t="s">
        <v>175</v>
      </c>
      <c r="D84" s="12" t="s">
        <v>128</v>
      </c>
    </row>
    <row r="85" customFormat="false" ht="15" hidden="false" customHeight="true" outlineLevel="0" collapsed="false">
      <c r="A85" s="10" t="s">
        <v>72</v>
      </c>
      <c r="B85" s="11" t="s">
        <v>73</v>
      </c>
      <c r="C85" s="11"/>
      <c r="D85" s="12"/>
    </row>
    <row r="86" customFormat="false" ht="15" hidden="false" customHeight="true" outlineLevel="0" collapsed="false">
      <c r="A86" s="10" t="s">
        <v>75</v>
      </c>
      <c r="B86" s="11" t="s">
        <v>76</v>
      </c>
      <c r="C86" s="11" t="s">
        <v>129</v>
      </c>
      <c r="D86" s="12"/>
    </row>
    <row r="87" customFormat="false" ht="24" hidden="false" customHeight="true" outlineLevel="0" collapsed="false">
      <c r="A87" s="10" t="s">
        <v>176</v>
      </c>
      <c r="B87" s="11" t="s">
        <v>177</v>
      </c>
      <c r="C87" s="11" t="s">
        <v>178</v>
      </c>
      <c r="D87" s="12" t="s">
        <v>132</v>
      </c>
    </row>
    <row r="88" customFormat="false" ht="15" hidden="false" customHeight="true" outlineLevel="0" collapsed="false">
      <c r="A88" s="10" t="s">
        <v>179</v>
      </c>
      <c r="B88" s="11" t="s">
        <v>180</v>
      </c>
      <c r="C88" s="11" t="s">
        <v>181</v>
      </c>
      <c r="D88" s="12"/>
    </row>
    <row r="89" customFormat="false" ht="15" hidden="false" customHeight="true" outlineLevel="0" collapsed="false">
      <c r="A89" s="10" t="s">
        <v>91</v>
      </c>
      <c r="B89" s="11" t="s">
        <v>92</v>
      </c>
      <c r="C89" s="11"/>
      <c r="D89" s="12" t="s">
        <v>133</v>
      </c>
    </row>
    <row r="90" customFormat="false" ht="15" hidden="false" customHeight="true" outlineLevel="0" collapsed="false">
      <c r="A90" s="10" t="s">
        <v>95</v>
      </c>
      <c r="B90" s="11" t="s">
        <v>96</v>
      </c>
      <c r="C90" s="11" t="s">
        <v>182</v>
      </c>
      <c r="D90" s="12"/>
    </row>
    <row r="91" customFormat="false" ht="24" hidden="false" customHeight="true" outlineLevel="0" collapsed="false">
      <c r="A91" s="10" t="s">
        <v>98</v>
      </c>
      <c r="B91" s="11" t="s">
        <v>183</v>
      </c>
      <c r="C91" s="11" t="s">
        <v>184</v>
      </c>
      <c r="D91" s="12"/>
    </row>
    <row r="92" customFormat="false" ht="15" hidden="false" customHeight="true" outlineLevel="0" collapsed="false">
      <c r="A92" s="10" t="s">
        <v>101</v>
      </c>
      <c r="B92" s="11" t="s">
        <v>102</v>
      </c>
      <c r="C92" s="11" t="s">
        <v>97</v>
      </c>
      <c r="D92" s="12"/>
    </row>
    <row r="93" customFormat="false" ht="15" hidden="false" customHeight="true" outlineLevel="0" collapsed="false">
      <c r="A93" s="10" t="s">
        <v>136</v>
      </c>
      <c r="B93" s="11" t="s">
        <v>137</v>
      </c>
      <c r="C93" s="11" t="s">
        <v>185</v>
      </c>
      <c r="D93" s="12" t="s">
        <v>135</v>
      </c>
    </row>
    <row r="94" customFormat="false" ht="24" hidden="false" customHeight="true" outlineLevel="0" collapsed="false">
      <c r="A94" s="10" t="s">
        <v>186</v>
      </c>
      <c r="B94" s="11" t="s">
        <v>187</v>
      </c>
      <c r="C94" s="11" t="s">
        <v>188</v>
      </c>
      <c r="D94" s="12" t="s">
        <v>140</v>
      </c>
    </row>
    <row r="95" customFormat="false" ht="15" hidden="false" customHeight="true" outlineLevel="0" collapsed="false">
      <c r="A95" s="10" t="s">
        <v>189</v>
      </c>
      <c r="B95" s="11" t="s">
        <v>118</v>
      </c>
      <c r="C95" s="11" t="s">
        <v>143</v>
      </c>
      <c r="D95" s="12"/>
    </row>
    <row r="96" customFormat="false" ht="15" hidden="false" customHeight="true" outlineLevel="0" collapsed="false">
      <c r="A96" s="10" t="s">
        <v>146</v>
      </c>
      <c r="B96" s="11" t="s">
        <v>190</v>
      </c>
      <c r="C96" s="11"/>
      <c r="D96" s="12"/>
    </row>
    <row r="97" customFormat="false" ht="15" hidden="false" customHeight="true" outlineLevel="0" collapsed="false">
      <c r="A97" s="10" t="s">
        <v>122</v>
      </c>
      <c r="B97" s="11" t="s">
        <v>123</v>
      </c>
      <c r="C97" s="11" t="s">
        <v>191</v>
      </c>
      <c r="D97" s="12"/>
    </row>
    <row r="99" customFormat="false" ht="19.5" hidden="false" customHeight="true" outlineLevel="0" collapsed="false">
      <c r="A99" s="8" t="s">
        <v>192</v>
      </c>
      <c r="B99" s="8" t="s">
        <v>193</v>
      </c>
      <c r="C99" s="2"/>
      <c r="D99" s="2"/>
    </row>
    <row r="100" customFormat="false" ht="30" hidden="false" customHeight="true" outlineLevel="0" collapsed="false">
      <c r="A100" s="9" t="s">
        <v>64</v>
      </c>
      <c r="B100" s="9" t="s">
        <v>65</v>
      </c>
      <c r="C100" s="9" t="s">
        <v>66</v>
      </c>
      <c r="D100" s="9" t="s">
        <v>67</v>
      </c>
    </row>
    <row r="101" customFormat="false" ht="15" hidden="false" customHeight="true" outlineLevel="0" collapsed="false">
      <c r="A101" s="10" t="s">
        <v>194</v>
      </c>
      <c r="B101" s="11" t="s">
        <v>69</v>
      </c>
      <c r="C101" s="11" t="s">
        <v>195</v>
      </c>
      <c r="D101" s="12" t="s">
        <v>128</v>
      </c>
    </row>
    <row r="102" customFormat="false" ht="24" hidden="false" customHeight="true" outlineLevel="0" collapsed="false">
      <c r="A102" s="10" t="s">
        <v>179</v>
      </c>
      <c r="B102" s="11" t="s">
        <v>196</v>
      </c>
      <c r="C102" s="11" t="s">
        <v>197</v>
      </c>
      <c r="D102" s="12"/>
    </row>
    <row r="103" customFormat="false" ht="15" hidden="false" customHeight="true" outlineLevel="0" collapsed="false">
      <c r="A103" s="10" t="s">
        <v>86</v>
      </c>
      <c r="B103" s="11" t="s">
        <v>198</v>
      </c>
      <c r="C103" s="11"/>
      <c r="D103" s="12"/>
    </row>
    <row r="104" customFormat="false" ht="15" hidden="false" customHeight="true" outlineLevel="0" collapsed="false">
      <c r="A104" s="10" t="s">
        <v>89</v>
      </c>
      <c r="B104" s="11" t="s">
        <v>199</v>
      </c>
      <c r="C104" s="11" t="s">
        <v>200</v>
      </c>
      <c r="D104" s="12" t="s">
        <v>132</v>
      </c>
    </row>
    <row r="105" customFormat="false" ht="15" hidden="false" customHeight="true" outlineLevel="0" collapsed="false">
      <c r="A105" s="10" t="s">
        <v>201</v>
      </c>
      <c r="B105" s="11" t="s">
        <v>202</v>
      </c>
      <c r="C105" s="11" t="s">
        <v>203</v>
      </c>
      <c r="D105" s="12" t="s">
        <v>133</v>
      </c>
    </row>
    <row r="106" customFormat="false" ht="24" hidden="false" customHeight="true" outlineLevel="0" collapsed="false">
      <c r="A106" s="10" t="s">
        <v>204</v>
      </c>
      <c r="B106" s="11" t="s">
        <v>205</v>
      </c>
      <c r="C106" s="11" t="s">
        <v>206</v>
      </c>
      <c r="D106" s="12"/>
    </row>
    <row r="107" customFormat="false" ht="15" hidden="false" customHeight="true" outlineLevel="0" collapsed="false">
      <c r="A107" s="10" t="s">
        <v>207</v>
      </c>
      <c r="B107" s="11" t="s">
        <v>99</v>
      </c>
      <c r="C107" s="11" t="s">
        <v>208</v>
      </c>
      <c r="D107" s="12"/>
    </row>
    <row r="108" customFormat="false" ht="15" hidden="false" customHeight="true" outlineLevel="0" collapsed="false">
      <c r="A108" s="10" t="s">
        <v>209</v>
      </c>
      <c r="B108" s="11" t="s">
        <v>210</v>
      </c>
      <c r="C108" s="11" t="s">
        <v>93</v>
      </c>
      <c r="D108" s="12" t="s">
        <v>135</v>
      </c>
    </row>
    <row r="109" customFormat="false" ht="24" hidden="false" customHeight="true" outlineLevel="0" collapsed="false">
      <c r="A109" s="10" t="s">
        <v>136</v>
      </c>
      <c r="B109" s="11" t="s">
        <v>211</v>
      </c>
      <c r="C109" s="11" t="s">
        <v>212</v>
      </c>
      <c r="D109" s="12"/>
    </row>
    <row r="110" customFormat="false" ht="15" hidden="false" customHeight="true" outlineLevel="0" collapsed="false">
      <c r="A110" s="10" t="s">
        <v>162</v>
      </c>
      <c r="B110" s="11" t="s">
        <v>115</v>
      </c>
      <c r="C110" s="11" t="s">
        <v>208</v>
      </c>
      <c r="D110" s="12" t="s">
        <v>140</v>
      </c>
    </row>
    <row r="111" customFormat="false" ht="24" hidden="false" customHeight="true" outlineLevel="0" collapsed="false">
      <c r="A111" s="10" t="s">
        <v>213</v>
      </c>
      <c r="B111" s="11" t="s">
        <v>214</v>
      </c>
      <c r="C111" s="11" t="s">
        <v>215</v>
      </c>
      <c r="D111" s="12"/>
    </row>
    <row r="112" customFormat="false" ht="15" hidden="false" customHeight="true" outlineLevel="0" collapsed="false">
      <c r="A112" s="10" t="s">
        <v>122</v>
      </c>
      <c r="B112" s="11" t="s">
        <v>123</v>
      </c>
      <c r="C112" s="11" t="s">
        <v>216</v>
      </c>
      <c r="D112" s="12"/>
    </row>
    <row r="114" customFormat="false" ht="19.5" hidden="false" customHeight="true" outlineLevel="0" collapsed="false">
      <c r="A114" s="8" t="s">
        <v>217</v>
      </c>
      <c r="B114" s="8" t="s">
        <v>218</v>
      </c>
      <c r="C114" s="2"/>
      <c r="D114" s="2"/>
    </row>
    <row r="115" customFormat="false" ht="30" hidden="false" customHeight="true" outlineLevel="0" collapsed="false">
      <c r="A115" s="9" t="s">
        <v>64</v>
      </c>
      <c r="B115" s="9" t="s">
        <v>65</v>
      </c>
      <c r="C115" s="9" t="s">
        <v>66</v>
      </c>
      <c r="D115" s="9" t="s">
        <v>67</v>
      </c>
    </row>
    <row r="116" customFormat="false" ht="15" hidden="false" customHeight="true" outlineLevel="0" collapsed="false">
      <c r="A116" s="10" t="s">
        <v>86</v>
      </c>
      <c r="B116" s="11" t="s">
        <v>69</v>
      </c>
      <c r="C116" s="11" t="s">
        <v>219</v>
      </c>
      <c r="D116" s="12" t="s">
        <v>128</v>
      </c>
    </row>
    <row r="117" customFormat="false" ht="15" hidden="false" customHeight="true" outlineLevel="0" collapsed="false">
      <c r="A117" s="10" t="s">
        <v>220</v>
      </c>
      <c r="B117" s="11" t="s">
        <v>221</v>
      </c>
      <c r="C117" s="11" t="s">
        <v>222</v>
      </c>
      <c r="D117" s="12" t="s">
        <v>132</v>
      </c>
    </row>
    <row r="118" customFormat="false" ht="15" hidden="false" customHeight="true" outlineLevel="0" collapsed="false">
      <c r="A118" s="10" t="s">
        <v>223</v>
      </c>
      <c r="B118" s="11" t="s">
        <v>211</v>
      </c>
      <c r="C118" s="11" t="s">
        <v>224</v>
      </c>
      <c r="D118" s="12" t="s">
        <v>133</v>
      </c>
    </row>
    <row r="119" customFormat="false" ht="24" hidden="false" customHeight="true" outlineLevel="0" collapsed="false">
      <c r="A119" s="10" t="s">
        <v>98</v>
      </c>
      <c r="B119" s="11" t="s">
        <v>225</v>
      </c>
      <c r="C119" s="11" t="s">
        <v>226</v>
      </c>
      <c r="D119" s="12"/>
    </row>
    <row r="120" customFormat="false" ht="24" hidden="false" customHeight="true" outlineLevel="0" collapsed="false">
      <c r="A120" s="10" t="s">
        <v>227</v>
      </c>
      <c r="B120" s="11" t="s">
        <v>228</v>
      </c>
      <c r="C120" s="11" t="s">
        <v>229</v>
      </c>
      <c r="D120" s="12" t="s">
        <v>135</v>
      </c>
    </row>
    <row r="121" customFormat="false" ht="24" hidden="false" customHeight="true" outlineLevel="0" collapsed="false">
      <c r="A121" s="10" t="s">
        <v>230</v>
      </c>
      <c r="B121" s="11" t="s">
        <v>231</v>
      </c>
      <c r="C121" s="11" t="s">
        <v>232</v>
      </c>
      <c r="D121" s="12"/>
    </row>
    <row r="122" customFormat="false" ht="15" hidden="false" customHeight="true" outlineLevel="0" collapsed="false">
      <c r="A122" s="10" t="s">
        <v>233</v>
      </c>
      <c r="B122" s="11" t="s">
        <v>115</v>
      </c>
      <c r="C122" s="11" t="s">
        <v>208</v>
      </c>
      <c r="D122" s="12" t="s">
        <v>140</v>
      </c>
    </row>
    <row r="123" customFormat="false" ht="24" hidden="false" customHeight="true" outlineLevel="0" collapsed="false">
      <c r="A123" s="10" t="s">
        <v>234</v>
      </c>
      <c r="B123" s="11" t="s">
        <v>235</v>
      </c>
      <c r="C123" s="11" t="s">
        <v>236</v>
      </c>
      <c r="D123" s="12"/>
    </row>
    <row r="124" customFormat="false" ht="24" hidden="false" customHeight="true" outlineLevel="0" collapsed="false">
      <c r="A124" s="10" t="s">
        <v>237</v>
      </c>
      <c r="B124" s="11" t="s">
        <v>238</v>
      </c>
      <c r="C124" s="11" t="s">
        <v>239</v>
      </c>
      <c r="D124" s="12"/>
    </row>
    <row r="125" customFormat="false" ht="15" hidden="false" customHeight="true" outlineLevel="0" collapsed="false">
      <c r="A125" s="10" t="s">
        <v>122</v>
      </c>
      <c r="B125" s="11" t="s">
        <v>123</v>
      </c>
      <c r="C125" s="11" t="s">
        <v>240</v>
      </c>
      <c r="D125"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34"/>
    <col collapsed="false" customWidth="true" hidden="false" outlineLevel="0" max="4" min="4" style="0" width="60"/>
  </cols>
  <sheetData>
    <row r="1" customFormat="false" ht="24" hidden="false" customHeight="true" outlineLevel="0" collapsed="false">
      <c r="A1" s="1" t="s">
        <v>241</v>
      </c>
      <c r="B1" s="2"/>
      <c r="C1" s="2"/>
      <c r="D1" s="2"/>
    </row>
    <row r="3" customFormat="false" ht="30" hidden="false" customHeight="true" outlineLevel="0" collapsed="false">
      <c r="A3" s="9" t="s">
        <v>242</v>
      </c>
      <c r="B3" s="9" t="s">
        <v>243</v>
      </c>
      <c r="C3" s="9" t="s">
        <v>244</v>
      </c>
      <c r="D3" s="9" t="s">
        <v>245</v>
      </c>
    </row>
    <row r="4" customFormat="false" ht="27.75" hidden="false" customHeight="true" outlineLevel="0" collapsed="false">
      <c r="A4" s="13" t="s">
        <v>246</v>
      </c>
      <c r="B4" s="14" t="s">
        <v>247</v>
      </c>
      <c r="C4" s="14" t="s">
        <v>248</v>
      </c>
      <c r="D4" s="11" t="s">
        <v>249</v>
      </c>
    </row>
    <row r="5" customFormat="false" ht="27.75" hidden="false" customHeight="true" outlineLevel="0" collapsed="false">
      <c r="A5" s="13" t="s">
        <v>246</v>
      </c>
      <c r="B5" s="14" t="s">
        <v>250</v>
      </c>
      <c r="C5" s="14" t="s">
        <v>251</v>
      </c>
      <c r="D5" s="11" t="s">
        <v>252</v>
      </c>
    </row>
    <row r="6" customFormat="false" ht="27.75" hidden="false" customHeight="true" outlineLevel="0" collapsed="false">
      <c r="A6" s="13" t="s">
        <v>253</v>
      </c>
      <c r="B6" s="14" t="s">
        <v>254</v>
      </c>
      <c r="C6" s="14" t="s">
        <v>255</v>
      </c>
      <c r="D6" s="11" t="s">
        <v>256</v>
      </c>
    </row>
    <row r="7" customFormat="false" ht="27.75" hidden="false" customHeight="true" outlineLevel="0" collapsed="false">
      <c r="A7" s="13" t="s">
        <v>257</v>
      </c>
      <c r="B7" s="14" t="s">
        <v>136</v>
      </c>
      <c r="C7" s="14" t="s">
        <v>255</v>
      </c>
      <c r="D7" s="11" t="s">
        <v>258</v>
      </c>
    </row>
    <row r="8" customFormat="false" ht="27.75" hidden="false" customHeight="true" outlineLevel="0" collapsed="false">
      <c r="A8" s="13" t="s">
        <v>259</v>
      </c>
      <c r="B8" s="14" t="s">
        <v>110</v>
      </c>
      <c r="C8" s="14" t="s">
        <v>260</v>
      </c>
      <c r="D8" s="11" t="s">
        <v>261</v>
      </c>
    </row>
    <row r="9" customFormat="false" ht="27.75" hidden="false" customHeight="true" outlineLevel="0" collapsed="false">
      <c r="A9" s="13" t="s">
        <v>262</v>
      </c>
      <c r="B9" s="14" t="s">
        <v>263</v>
      </c>
      <c r="C9" s="14" t="s">
        <v>260</v>
      </c>
      <c r="D9" s="11" t="s">
        <v>264</v>
      </c>
    </row>
    <row r="10" customFormat="false" ht="27.75" hidden="false" customHeight="true" outlineLevel="0" collapsed="false">
      <c r="A10" s="13" t="s">
        <v>265</v>
      </c>
      <c r="B10" s="14" t="s">
        <v>266</v>
      </c>
      <c r="C10" s="14" t="s">
        <v>267</v>
      </c>
      <c r="D10" s="11" t="s">
        <v>268</v>
      </c>
    </row>
    <row r="11" customFormat="false" ht="27.75" hidden="false" customHeight="true" outlineLevel="0" collapsed="false">
      <c r="A11" s="13" t="s">
        <v>269</v>
      </c>
      <c r="B11" s="14" t="s">
        <v>270</v>
      </c>
      <c r="C11" s="14" t="s">
        <v>271</v>
      </c>
      <c r="D11" s="11" t="s">
        <v>272</v>
      </c>
    </row>
    <row r="12" customFormat="false" ht="27.75" hidden="false" customHeight="true" outlineLevel="0" collapsed="false">
      <c r="A12" s="13" t="s">
        <v>273</v>
      </c>
      <c r="B12" s="14" t="s">
        <v>110</v>
      </c>
      <c r="C12" s="14" t="s">
        <v>274</v>
      </c>
      <c r="D12" s="11" t="s">
        <v>275</v>
      </c>
    </row>
    <row r="13" customFormat="false" ht="27.75" hidden="false" customHeight="true" outlineLevel="0" collapsed="false">
      <c r="A13" s="13" t="s">
        <v>276</v>
      </c>
      <c r="B13" s="14" t="s">
        <v>110</v>
      </c>
      <c r="C13" s="14" t="s">
        <v>274</v>
      </c>
      <c r="D13" s="11" t="s">
        <v>277</v>
      </c>
    </row>
    <row r="14" customFormat="false" ht="27.75" hidden="false" customHeight="true" outlineLevel="0" collapsed="false">
      <c r="A14" s="13" t="s">
        <v>278</v>
      </c>
      <c r="B14" s="14" t="s">
        <v>279</v>
      </c>
      <c r="C14" s="14" t="s">
        <v>280</v>
      </c>
      <c r="D14" s="11" t="s">
        <v>281</v>
      </c>
    </row>
    <row r="15" customFormat="false" ht="27.75" hidden="false" customHeight="true" outlineLevel="0" collapsed="false">
      <c r="A15" s="13" t="s">
        <v>282</v>
      </c>
      <c r="B15" s="14" t="s">
        <v>283</v>
      </c>
      <c r="C15" s="14" t="s">
        <v>284</v>
      </c>
      <c r="D15" s="11" t="s">
        <v>285</v>
      </c>
    </row>
    <row r="17" customFormat="false" ht="15" hidden="false" customHeight="false" outlineLevel="0" collapsed="false">
      <c r="A17" s="15" t="s">
        <v>286</v>
      </c>
    </row>
    <row r="18" customFormat="false" ht="15" hidden="false" customHeight="true" outlineLevel="0" collapsed="false">
      <c r="A18" s="16" t="s">
        <v>287</v>
      </c>
      <c r="B18" s="16"/>
      <c r="C18" s="16"/>
      <c r="D18" s="16"/>
    </row>
    <row r="19" customFormat="false" ht="15" hidden="false" customHeight="true" outlineLevel="0" collapsed="false">
      <c r="A19" s="16" t="s">
        <v>288</v>
      </c>
      <c r="B19" s="16"/>
      <c r="C19" s="16"/>
      <c r="D19" s="16"/>
    </row>
    <row r="20" customFormat="false" ht="15" hidden="false" customHeight="true" outlineLevel="0" collapsed="false">
      <c r="A20" s="16" t="s">
        <v>289</v>
      </c>
      <c r="B20" s="16"/>
      <c r="C20" s="16"/>
      <c r="D20" s="16"/>
    </row>
  </sheetData>
  <mergeCells count="3">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12"/>
    <col collapsed="false" customWidth="true" hidden="false" outlineLevel="0" max="5" min="5" style="0" width="70"/>
  </cols>
  <sheetData>
    <row r="1" customFormat="false" ht="24" hidden="false" customHeight="true" outlineLevel="0" collapsed="false">
      <c r="A1" s="1" t="s">
        <v>290</v>
      </c>
      <c r="B1" s="2"/>
      <c r="C1" s="2"/>
      <c r="D1" s="2"/>
      <c r="E1" s="2"/>
    </row>
    <row r="2" customFormat="false" ht="15" hidden="false" customHeight="false" outlineLevel="0" collapsed="false">
      <c r="B2" s="7" t="s">
        <v>291</v>
      </c>
    </row>
    <row r="4" customFormat="false" ht="15" hidden="false" customHeight="false" outlineLevel="0" collapsed="false">
      <c r="B4" s="5" t="s">
        <v>292</v>
      </c>
    </row>
    <row r="5" customFormat="false" ht="15" hidden="false" customHeight="false" outlineLevel="0" collapsed="false">
      <c r="B5" s="3" t="s">
        <v>293</v>
      </c>
      <c r="C5" s="17" t="n">
        <v>220</v>
      </c>
      <c r="E5" s="18" t="s">
        <v>294</v>
      </c>
    </row>
    <row r="6" customFormat="false" ht="15" hidden="false" customHeight="false" outlineLevel="0" collapsed="false">
      <c r="B6" s="3" t="s">
        <v>295</v>
      </c>
      <c r="C6" s="19" t="n">
        <f aca="false">C5/2.2046</f>
        <v>99.7913453687744</v>
      </c>
      <c r="E6" s="18"/>
    </row>
    <row r="7" customFormat="false" ht="15" hidden="false" customHeight="false" outlineLevel="0" collapsed="false">
      <c r="B7" s="3" t="s">
        <v>296</v>
      </c>
      <c r="C7" s="20" t="n">
        <v>180</v>
      </c>
      <c r="E7" s="18" t="s">
        <v>297</v>
      </c>
    </row>
    <row r="8" customFormat="false" ht="15" hidden="false" customHeight="false" outlineLevel="0" collapsed="false">
      <c r="B8" s="3" t="s">
        <v>298</v>
      </c>
      <c r="C8" s="20" t="n">
        <v>22</v>
      </c>
      <c r="E8" s="18"/>
    </row>
    <row r="9" customFormat="false" ht="22.35" hidden="false" customHeight="false" outlineLevel="0" collapsed="false">
      <c r="B9" s="3" t="s">
        <v>299</v>
      </c>
      <c r="C9" s="21" t="n">
        <v>0.21</v>
      </c>
      <c r="E9" s="18" t="s">
        <v>300</v>
      </c>
    </row>
    <row r="10" customFormat="false" ht="15" hidden="false" customHeight="false" outlineLevel="0" collapsed="false">
      <c r="B10" s="3" t="s">
        <v>301</v>
      </c>
      <c r="C10" s="19" t="n">
        <f aca="false">C6*(1-C9)</f>
        <v>78.8351628413318</v>
      </c>
      <c r="E10" s="18" t="s">
        <v>302</v>
      </c>
    </row>
    <row r="12" customFormat="false" ht="15" hidden="false" customHeight="false" outlineLevel="0" collapsed="false">
      <c r="B12" s="5" t="s">
        <v>303</v>
      </c>
    </row>
    <row r="13" customFormat="false" ht="15" hidden="false" customHeight="false" outlineLevel="0" collapsed="false">
      <c r="B13" s="3" t="s">
        <v>304</v>
      </c>
      <c r="C13" s="22" t="n">
        <f aca="false">10*C6+6.25*C7-5*C8+5</f>
        <v>2017.91345368774</v>
      </c>
      <c r="E13" s="18" t="s">
        <v>305</v>
      </c>
    </row>
    <row r="14" customFormat="false" ht="22.35" hidden="false" customHeight="false" outlineLevel="0" collapsed="false">
      <c r="B14" s="3" t="s">
        <v>306</v>
      </c>
      <c r="C14" s="23" t="n">
        <v>1.55</v>
      </c>
      <c r="E14" s="18" t="s">
        <v>307</v>
      </c>
    </row>
    <row r="15" customFormat="false" ht="15" hidden="false" customHeight="false" outlineLevel="0" collapsed="false">
      <c r="B15" s="3" t="s">
        <v>308</v>
      </c>
      <c r="C15" s="22" t="n">
        <f aca="false">C13*C14</f>
        <v>3127.765853216</v>
      </c>
      <c r="E15" s="18" t="s">
        <v>309</v>
      </c>
    </row>
    <row r="16" customFormat="false" ht="15" hidden="false" customHeight="false" outlineLevel="0" collapsed="false">
      <c r="B16" s="3" t="s">
        <v>310</v>
      </c>
      <c r="C16" s="24" t="n">
        <v>400</v>
      </c>
      <c r="E16" s="18"/>
    </row>
    <row r="17" customFormat="false" ht="15" hidden="false" customHeight="false" outlineLevel="0" collapsed="false">
      <c r="B17" s="3" t="s">
        <v>311</v>
      </c>
      <c r="C17" s="24" t="n">
        <v>700</v>
      </c>
      <c r="E17" s="18"/>
    </row>
    <row r="19" customFormat="false" ht="15" hidden="false" customHeight="false" outlineLevel="0" collapsed="false">
      <c r="B19" s="5" t="s">
        <v>312</v>
      </c>
    </row>
    <row r="20" customFormat="false" ht="15" hidden="false" customHeight="false" outlineLevel="0" collapsed="false">
      <c r="B20" s="3" t="s">
        <v>313</v>
      </c>
      <c r="C20" s="22" t="n">
        <f aca="false">ROUND((C15-C16)/50,0)*50</f>
        <v>2750</v>
      </c>
    </row>
    <row r="21" customFormat="false" ht="15" hidden="false" customHeight="false" outlineLevel="0" collapsed="false">
      <c r="B21" s="3" t="s">
        <v>314</v>
      </c>
      <c r="C21" s="22" t="n">
        <f aca="false">ROUND((C15-C17)/50,0)*50</f>
        <v>2450</v>
      </c>
    </row>
    <row r="22" customFormat="false" ht="15" hidden="false" customHeight="false" outlineLevel="0" collapsed="false">
      <c r="B22" s="3" t="s">
        <v>315</v>
      </c>
      <c r="C22" s="24" t="n">
        <v>0</v>
      </c>
    </row>
    <row r="23" customFormat="false" ht="15" hidden="false" customHeight="false" outlineLevel="0" collapsed="false">
      <c r="B23" s="3" t="s">
        <v>316</v>
      </c>
      <c r="C23" s="22" t="n">
        <f aca="false">ROUND(C10*2.4,0)</f>
        <v>189</v>
      </c>
    </row>
    <row r="24" customFormat="false" ht="15" hidden="false" customHeight="false" outlineLevel="0" collapsed="false">
      <c r="B24" s="3" t="s">
        <v>317</v>
      </c>
      <c r="C24" s="22" t="n">
        <f aca="false">ROUND(C6*0.7,0)</f>
        <v>70</v>
      </c>
    </row>
    <row r="25" customFormat="false" ht="15" hidden="false" customHeight="false" outlineLevel="0" collapsed="false">
      <c r="B25" s="3" t="s">
        <v>318</v>
      </c>
      <c r="C25" s="22" t="n">
        <f aca="false">ROUND((C20-C23*4-C24*9)/4,0)</f>
        <v>341</v>
      </c>
    </row>
    <row r="26" customFormat="false" ht="15" hidden="false" customHeight="false" outlineLevel="0" collapsed="false">
      <c r="B26" s="3" t="s">
        <v>319</v>
      </c>
      <c r="C26" s="22" t="n">
        <f aca="false">ROUND((C21-C23*4-C24*9)/4,0)</f>
        <v>266</v>
      </c>
    </row>
    <row r="27" customFormat="false" ht="15" hidden="false" customHeight="false" outlineLevel="0" collapsed="false">
      <c r="B27" s="3" t="s">
        <v>320</v>
      </c>
      <c r="C27" s="25" t="n">
        <v>5</v>
      </c>
    </row>
    <row r="28" customFormat="false" ht="15" hidden="false" customHeight="false" outlineLevel="0" collapsed="false">
      <c r="B28" s="3" t="s">
        <v>321</v>
      </c>
      <c r="C28" s="20" t="n">
        <v>5</v>
      </c>
    </row>
    <row r="29" customFormat="false" ht="15" hidden="false" customHeight="false" outlineLevel="0" collapsed="false">
      <c r="B29" s="3" t="s">
        <v>322</v>
      </c>
      <c r="C29" s="25" t="n">
        <v>6.5</v>
      </c>
    </row>
    <row r="30" customFormat="false" ht="15" hidden="false" customHeight="false" outlineLevel="0" collapsed="false">
      <c r="B30" s="3" t="s">
        <v>323</v>
      </c>
      <c r="C30" s="24" t="n">
        <v>120</v>
      </c>
    </row>
    <row r="32" customFormat="false" ht="15" hidden="false" customHeight="false" outlineLevel="0" collapsed="false">
      <c r="B32" s="5" t="s">
        <v>324</v>
      </c>
    </row>
    <row r="33" customFormat="false" ht="15" hidden="false" customHeight="false" outlineLevel="0" collapsed="false">
      <c r="B33" s="3" t="s">
        <v>325</v>
      </c>
      <c r="C33" s="26" t="n">
        <f aca="false">C20*4+C21*2+C22</f>
        <v>15900</v>
      </c>
    </row>
    <row r="34" customFormat="false" ht="15" hidden="false" customHeight="false" outlineLevel="0" collapsed="false">
      <c r="B34" s="3" t="s">
        <v>326</v>
      </c>
      <c r="C34" s="26" t="n">
        <f aca="false">C33/7</f>
        <v>2271.42857142857</v>
      </c>
    </row>
    <row r="35" customFormat="false" ht="15" hidden="false" customHeight="false" outlineLevel="0" collapsed="false">
      <c r="B35" s="3" t="s">
        <v>327</v>
      </c>
      <c r="C35" s="26" t="n">
        <f aca="false">C15-C34</f>
        <v>856.337281787431</v>
      </c>
    </row>
    <row r="36" customFormat="false" ht="15" hidden="false" customHeight="false" outlineLevel="0" collapsed="false">
      <c r="B36" s="3" t="s">
        <v>328</v>
      </c>
      <c r="C36" s="26" t="n">
        <f aca="false">C35*7/7700</f>
        <v>0.778488437988574</v>
      </c>
    </row>
    <row r="37" customFormat="false" ht="15" hidden="false" customHeight="false" outlineLevel="0" collapsed="false">
      <c r="B37" s="3" t="s">
        <v>329</v>
      </c>
      <c r="C37" s="26" t="n">
        <f aca="false">C36*2.2046</f>
        <v>1.71625561038961</v>
      </c>
    </row>
    <row r="38" customFormat="false" ht="43.25" hidden="false" customHeight="false" outlineLevel="0" collapsed="false">
      <c r="B38" s="18" t="s">
        <v>330</v>
      </c>
    </row>
    <row r="40" customFormat="false" ht="15" hidden="false" customHeight="false" outlineLevel="0" collapsed="false">
      <c r="B40" s="5" t="s">
        <v>331</v>
      </c>
    </row>
    <row r="41" customFormat="false" ht="25.5" hidden="false" customHeight="true" outlineLevel="0" collapsed="false">
      <c r="B41" s="3" t="s">
        <v>332</v>
      </c>
      <c r="C41" s="27" t="s">
        <v>333</v>
      </c>
      <c r="E41" s="18" t="s">
        <v>334</v>
      </c>
    </row>
    <row r="42" customFormat="false" ht="25.5" hidden="false" customHeight="true" outlineLevel="0" collapsed="false">
      <c r="B42" s="3" t="s">
        <v>335</v>
      </c>
      <c r="C42" s="27" t="s">
        <v>336</v>
      </c>
      <c r="E42" s="18" t="s">
        <v>337</v>
      </c>
    </row>
    <row r="43" customFormat="false" ht="15" hidden="false" customHeight="true" outlineLevel="0" collapsed="false">
      <c r="B43" s="3" t="s">
        <v>338</v>
      </c>
      <c r="C43" s="27" t="s">
        <v>339</v>
      </c>
      <c r="E43" s="18" t="s">
        <v>340</v>
      </c>
    </row>
    <row r="44" customFormat="false" ht="15" hidden="false" customHeight="true" outlineLevel="0" collapsed="false">
      <c r="B44" s="3" t="s">
        <v>341</v>
      </c>
      <c r="C44" s="27" t="s">
        <v>342</v>
      </c>
      <c r="E44" s="18" t="s">
        <v>343</v>
      </c>
    </row>
    <row r="45" customFormat="false" ht="15" hidden="false" customHeight="true" outlineLevel="0" collapsed="false">
      <c r="B45" s="3" t="s">
        <v>344</v>
      </c>
      <c r="C45" s="27" t="s">
        <v>345</v>
      </c>
      <c r="E45" s="18" t="s">
        <v>346</v>
      </c>
    </row>
    <row r="46" customFormat="false" ht="15" hidden="false" customHeight="true" outlineLevel="0" collapsed="false">
      <c r="B46" s="3" t="s">
        <v>347</v>
      </c>
      <c r="C46" s="27" t="s">
        <v>348</v>
      </c>
      <c r="E46" s="18" t="s">
        <v>349</v>
      </c>
    </row>
    <row r="47" customFormat="false" ht="15" hidden="false" customHeight="true" outlineLevel="0" collapsed="false">
      <c r="B47" s="3" t="s">
        <v>350</v>
      </c>
      <c r="C47" s="27" t="s">
        <v>351</v>
      </c>
      <c r="E47" s="18"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6" min="3" style="0" width="11"/>
    <col collapsed="false" customWidth="true" hidden="false" outlineLevel="0" max="7" min="7" style="0" width="26"/>
    <col collapsed="false" customWidth="true" hidden="false" outlineLevel="0" max="8" min="8" style="0" width="12"/>
    <col collapsed="false" customWidth="true" hidden="false" outlineLevel="0" max="9" min="9" style="0" width="40"/>
  </cols>
  <sheetData>
    <row r="1" customFormat="false" ht="24" hidden="false" customHeight="true" outlineLevel="0" collapsed="false">
      <c r="A1" s="1" t="s">
        <v>352</v>
      </c>
      <c r="B1" s="2"/>
      <c r="C1" s="2"/>
      <c r="D1" s="2"/>
      <c r="E1" s="2"/>
      <c r="F1" s="2"/>
      <c r="G1" s="2"/>
      <c r="H1" s="2"/>
      <c r="I1" s="2"/>
    </row>
    <row r="2" customFormat="false" ht="15" hidden="false" customHeight="false" outlineLevel="0" collapsed="false">
      <c r="A2" s="7" t="s">
        <v>353</v>
      </c>
    </row>
    <row r="3" customFormat="false" ht="30" hidden="false" customHeight="true" outlineLevel="0" collapsed="false">
      <c r="A3" s="9" t="s">
        <v>354</v>
      </c>
      <c r="B3" s="9" t="s">
        <v>355</v>
      </c>
      <c r="C3" s="9" t="s">
        <v>356</v>
      </c>
      <c r="D3" s="9" t="s">
        <v>357</v>
      </c>
      <c r="E3" s="9" t="s">
        <v>358</v>
      </c>
      <c r="F3" s="9" t="s">
        <v>359</v>
      </c>
      <c r="G3" s="9" t="s">
        <v>360</v>
      </c>
      <c r="H3" s="9" t="s">
        <v>361</v>
      </c>
      <c r="I3" s="9" t="s">
        <v>362</v>
      </c>
    </row>
    <row r="4" customFormat="false" ht="22.35" hidden="false" customHeight="false" outlineLevel="0" collapsed="false">
      <c r="A4" s="13" t="s">
        <v>363</v>
      </c>
      <c r="B4" s="14" t="s">
        <v>364</v>
      </c>
      <c r="C4" s="28" t="n">
        <v>120</v>
      </c>
      <c r="D4" s="28" t="n">
        <v>22.5</v>
      </c>
      <c r="E4" s="28" t="n">
        <v>0</v>
      </c>
      <c r="F4" s="28" t="n">
        <v>2.6</v>
      </c>
      <c r="G4" s="14" t="s">
        <v>365</v>
      </c>
      <c r="H4" s="29" t="n">
        <v>180</v>
      </c>
      <c r="I4" s="30" t="s">
        <v>366</v>
      </c>
    </row>
    <row r="5" customFormat="false" ht="15" hidden="false" customHeight="false" outlineLevel="0" collapsed="false">
      <c r="A5" s="13" t="s">
        <v>367</v>
      </c>
      <c r="B5" s="14" t="s">
        <v>364</v>
      </c>
      <c r="C5" s="28" t="n">
        <v>96</v>
      </c>
      <c r="D5" s="28" t="n">
        <v>20.1</v>
      </c>
      <c r="E5" s="28" t="n">
        <v>0</v>
      </c>
      <c r="F5" s="28" t="n">
        <v>1.7</v>
      </c>
      <c r="G5" s="14" t="s">
        <v>368</v>
      </c>
      <c r="H5" s="29" t="n">
        <v>150</v>
      </c>
      <c r="I5" s="30"/>
    </row>
    <row r="6" customFormat="false" ht="15" hidden="false" customHeight="false" outlineLevel="0" collapsed="false">
      <c r="A6" s="13" t="s">
        <v>369</v>
      </c>
      <c r="B6" s="14" t="s">
        <v>364</v>
      </c>
      <c r="C6" s="28" t="n">
        <v>208</v>
      </c>
      <c r="D6" s="28" t="n">
        <v>20.4</v>
      </c>
      <c r="E6" s="28" t="n">
        <v>0</v>
      </c>
      <c r="F6" s="28" t="n">
        <v>13.4</v>
      </c>
      <c r="G6" s="14" t="s">
        <v>368</v>
      </c>
      <c r="H6" s="29" t="n">
        <v>150</v>
      </c>
      <c r="I6" s="30" t="s">
        <v>370</v>
      </c>
    </row>
    <row r="7" customFormat="false" ht="15" hidden="false" customHeight="false" outlineLevel="0" collapsed="false">
      <c r="A7" s="13" t="s">
        <v>371</v>
      </c>
      <c r="B7" s="14" t="s">
        <v>364</v>
      </c>
      <c r="C7" s="28" t="n">
        <v>97</v>
      </c>
      <c r="D7" s="28" t="n">
        <v>18.4</v>
      </c>
      <c r="E7" s="28" t="n">
        <v>0</v>
      </c>
      <c r="F7" s="28" t="n">
        <v>2</v>
      </c>
      <c r="G7" s="14" t="s">
        <v>368</v>
      </c>
      <c r="H7" s="29" t="n">
        <v>150</v>
      </c>
      <c r="I7" s="30"/>
    </row>
    <row r="8" customFormat="false" ht="22.35" hidden="false" customHeight="false" outlineLevel="0" collapsed="false">
      <c r="A8" s="13" t="s">
        <v>372</v>
      </c>
      <c r="B8" s="14" t="s">
        <v>364</v>
      </c>
      <c r="C8" s="28" t="n">
        <v>176</v>
      </c>
      <c r="D8" s="28" t="n">
        <v>20</v>
      </c>
      <c r="E8" s="28" t="n">
        <v>0</v>
      </c>
      <c r="F8" s="28" t="n">
        <v>10</v>
      </c>
      <c r="G8" s="14" t="s">
        <v>348</v>
      </c>
      <c r="H8" s="29" t="n">
        <v>150</v>
      </c>
      <c r="I8" s="30" t="s">
        <v>373</v>
      </c>
    </row>
    <row r="9" customFormat="false" ht="22.35" hidden="false" customHeight="false" outlineLevel="0" collapsed="false">
      <c r="A9" s="13" t="s">
        <v>374</v>
      </c>
      <c r="B9" s="14" t="s">
        <v>364</v>
      </c>
      <c r="C9" s="28" t="n">
        <v>254</v>
      </c>
      <c r="D9" s="28" t="n">
        <v>17</v>
      </c>
      <c r="E9" s="28" t="n">
        <v>0</v>
      </c>
      <c r="F9" s="28" t="n">
        <v>20</v>
      </c>
      <c r="G9" s="14" t="s">
        <v>348</v>
      </c>
      <c r="H9" s="29" t="n">
        <v>150</v>
      </c>
      <c r="I9" s="30" t="s">
        <v>375</v>
      </c>
    </row>
    <row r="10" customFormat="false" ht="15" hidden="false" customHeight="false" outlineLevel="0" collapsed="false">
      <c r="A10" s="13" t="s">
        <v>376</v>
      </c>
      <c r="B10" s="14" t="s">
        <v>364</v>
      </c>
      <c r="C10" s="28" t="n">
        <v>145</v>
      </c>
      <c r="D10" s="28" t="n">
        <v>21.5</v>
      </c>
      <c r="E10" s="28" t="n">
        <v>0</v>
      </c>
      <c r="F10" s="28" t="n">
        <v>6</v>
      </c>
      <c r="G10" s="14" t="s">
        <v>377</v>
      </c>
      <c r="H10" s="29" t="n">
        <v>150</v>
      </c>
      <c r="I10" s="30"/>
    </row>
    <row r="11" customFormat="false" ht="15" hidden="false" customHeight="false" outlineLevel="0" collapsed="false">
      <c r="A11" s="13" t="s">
        <v>378</v>
      </c>
      <c r="B11" s="14" t="s">
        <v>364</v>
      </c>
      <c r="C11" s="28" t="n">
        <v>143</v>
      </c>
      <c r="D11" s="28" t="n">
        <v>21</v>
      </c>
      <c r="E11" s="28" t="n">
        <v>0</v>
      </c>
      <c r="F11" s="28" t="n">
        <v>6</v>
      </c>
      <c r="G11" s="14" t="s">
        <v>348</v>
      </c>
      <c r="H11" s="29" t="n">
        <v>150</v>
      </c>
      <c r="I11" s="30"/>
    </row>
    <row r="12" customFormat="false" ht="15" hidden="false" customHeight="false" outlineLevel="0" collapsed="false">
      <c r="A12" s="13" t="s">
        <v>379</v>
      </c>
      <c r="B12" s="14" t="s">
        <v>364</v>
      </c>
      <c r="C12" s="28" t="n">
        <v>172</v>
      </c>
      <c r="D12" s="28" t="n">
        <v>20.5</v>
      </c>
      <c r="E12" s="28" t="n">
        <v>0</v>
      </c>
      <c r="F12" s="28" t="n">
        <v>9.5</v>
      </c>
      <c r="G12" s="14" t="s">
        <v>380</v>
      </c>
      <c r="H12" s="29" t="n">
        <v>160</v>
      </c>
      <c r="I12" s="30"/>
    </row>
    <row r="13" customFormat="false" ht="15" hidden="false" customHeight="false" outlineLevel="0" collapsed="false">
      <c r="A13" s="13" t="s">
        <v>381</v>
      </c>
      <c r="B13" s="14" t="s">
        <v>364</v>
      </c>
      <c r="C13" s="28" t="n">
        <v>143</v>
      </c>
      <c r="D13" s="28" t="n">
        <v>12.6</v>
      </c>
      <c r="E13" s="28" t="n">
        <v>0.7</v>
      </c>
      <c r="F13" s="28" t="n">
        <v>9.9</v>
      </c>
      <c r="G13" s="14" t="s">
        <v>382</v>
      </c>
      <c r="H13" s="29" t="n">
        <v>50</v>
      </c>
      <c r="I13" s="30" t="s">
        <v>383</v>
      </c>
    </row>
    <row r="14" customFormat="false" ht="22.35" hidden="false" customHeight="false" outlineLevel="0" collapsed="false">
      <c r="A14" s="13" t="s">
        <v>384</v>
      </c>
      <c r="B14" s="14" t="s">
        <v>364</v>
      </c>
      <c r="C14" s="28" t="n">
        <v>52</v>
      </c>
      <c r="D14" s="28" t="n">
        <v>10.9</v>
      </c>
      <c r="E14" s="28" t="n">
        <v>0.7</v>
      </c>
      <c r="F14" s="28" t="n">
        <v>0.2</v>
      </c>
      <c r="G14" s="14" t="s">
        <v>385</v>
      </c>
      <c r="H14" s="29" t="n">
        <v>33</v>
      </c>
      <c r="I14" s="30" t="s">
        <v>386</v>
      </c>
    </row>
    <row r="15" customFormat="false" ht="22.35" hidden="false" customHeight="false" outlineLevel="0" collapsed="false">
      <c r="A15" s="13" t="s">
        <v>338</v>
      </c>
      <c r="B15" s="14" t="s">
        <v>387</v>
      </c>
      <c r="C15" s="28" t="n">
        <v>400</v>
      </c>
      <c r="D15" s="28" t="n">
        <v>80</v>
      </c>
      <c r="E15" s="28" t="n">
        <v>10</v>
      </c>
      <c r="F15" s="28" t="n">
        <v>5</v>
      </c>
      <c r="G15" s="14" t="s">
        <v>388</v>
      </c>
      <c r="H15" s="29" t="n">
        <v>30</v>
      </c>
      <c r="I15" s="30" t="s">
        <v>389</v>
      </c>
    </row>
    <row r="16" customFormat="false" ht="15" hidden="false" customHeight="false" outlineLevel="0" collapsed="false">
      <c r="A16" s="13" t="s">
        <v>390</v>
      </c>
      <c r="B16" s="14" t="s">
        <v>391</v>
      </c>
      <c r="C16" s="28" t="n">
        <v>50</v>
      </c>
      <c r="D16" s="28" t="n">
        <v>3.3</v>
      </c>
      <c r="E16" s="28" t="n">
        <v>5</v>
      </c>
      <c r="F16" s="28" t="n">
        <v>2</v>
      </c>
      <c r="G16" s="14" t="s">
        <v>392</v>
      </c>
      <c r="H16" s="29" t="n">
        <v>240</v>
      </c>
      <c r="I16" s="30"/>
    </row>
    <row r="17" customFormat="false" ht="15" hidden="false" customHeight="false" outlineLevel="0" collapsed="false">
      <c r="A17" s="13" t="s">
        <v>393</v>
      </c>
      <c r="B17" s="14" t="s">
        <v>284</v>
      </c>
      <c r="C17" s="28" t="n">
        <v>59</v>
      </c>
      <c r="D17" s="28" t="n">
        <v>10</v>
      </c>
      <c r="E17" s="28" t="n">
        <v>3.6</v>
      </c>
      <c r="F17" s="28" t="n">
        <v>0.4</v>
      </c>
      <c r="G17" s="14" t="s">
        <v>394</v>
      </c>
      <c r="H17" s="29" t="n">
        <v>150</v>
      </c>
      <c r="I17" s="30"/>
    </row>
    <row r="18" customFormat="false" ht="15" hidden="false" customHeight="false" outlineLevel="0" collapsed="false">
      <c r="A18" s="13" t="s">
        <v>395</v>
      </c>
      <c r="B18" s="14" t="s">
        <v>284</v>
      </c>
      <c r="C18" s="28" t="n">
        <v>264</v>
      </c>
      <c r="D18" s="28" t="n">
        <v>14.2</v>
      </c>
      <c r="E18" s="28" t="n">
        <v>4.1</v>
      </c>
      <c r="F18" s="28" t="n">
        <v>21.3</v>
      </c>
      <c r="G18" s="14" t="s">
        <v>348</v>
      </c>
      <c r="H18" s="29" t="n">
        <v>30</v>
      </c>
      <c r="I18" s="30"/>
    </row>
    <row r="19" customFormat="false" ht="15" hidden="false" customHeight="false" outlineLevel="0" collapsed="false">
      <c r="A19" s="13" t="s">
        <v>396</v>
      </c>
      <c r="B19" s="14" t="s">
        <v>397</v>
      </c>
      <c r="C19" s="28" t="n">
        <v>360</v>
      </c>
      <c r="D19" s="28" t="n">
        <v>6.6</v>
      </c>
      <c r="E19" s="28" t="n">
        <v>79.3</v>
      </c>
      <c r="F19" s="28" t="n">
        <v>0.6</v>
      </c>
      <c r="G19" s="14" t="s">
        <v>398</v>
      </c>
      <c r="H19" s="29" t="n">
        <v>200</v>
      </c>
      <c r="I19" s="30" t="s">
        <v>399</v>
      </c>
    </row>
    <row r="20" customFormat="false" ht="15" hidden="false" customHeight="false" outlineLevel="0" collapsed="false">
      <c r="A20" s="13" t="s">
        <v>400</v>
      </c>
      <c r="B20" s="14" t="s">
        <v>397</v>
      </c>
      <c r="C20" s="28" t="n">
        <v>360</v>
      </c>
      <c r="D20" s="28" t="n">
        <v>7.5</v>
      </c>
      <c r="E20" s="28" t="n">
        <v>76</v>
      </c>
      <c r="F20" s="28" t="n">
        <v>2.9</v>
      </c>
      <c r="G20" s="14" t="s">
        <v>398</v>
      </c>
      <c r="H20" s="29" t="n">
        <v>195</v>
      </c>
      <c r="I20" s="30"/>
    </row>
    <row r="21" customFormat="false" ht="15" hidden="false" customHeight="false" outlineLevel="0" collapsed="false">
      <c r="A21" s="13" t="s">
        <v>401</v>
      </c>
      <c r="B21" s="14" t="s">
        <v>397</v>
      </c>
      <c r="C21" s="28" t="n">
        <v>348</v>
      </c>
      <c r="D21" s="28" t="n">
        <v>13</v>
      </c>
      <c r="E21" s="28" t="n">
        <v>71</v>
      </c>
      <c r="F21" s="28" t="n">
        <v>2.5</v>
      </c>
      <c r="G21" s="14" t="s">
        <v>398</v>
      </c>
      <c r="H21" s="29" t="n">
        <v>105</v>
      </c>
      <c r="I21" s="30"/>
    </row>
    <row r="22" customFormat="false" ht="15" hidden="false" customHeight="false" outlineLevel="0" collapsed="false">
      <c r="A22" s="13" t="s">
        <v>402</v>
      </c>
      <c r="B22" s="14" t="s">
        <v>397</v>
      </c>
      <c r="C22" s="28" t="n">
        <v>389</v>
      </c>
      <c r="D22" s="28" t="n">
        <v>16.9</v>
      </c>
      <c r="E22" s="28" t="n">
        <v>66.3</v>
      </c>
      <c r="F22" s="28" t="n">
        <v>6.9</v>
      </c>
      <c r="G22" s="14" t="s">
        <v>403</v>
      </c>
      <c r="H22" s="29" t="n">
        <v>45</v>
      </c>
      <c r="I22" s="30"/>
    </row>
    <row r="23" customFormat="false" ht="15" hidden="false" customHeight="false" outlineLevel="0" collapsed="false">
      <c r="A23" s="13" t="s">
        <v>404</v>
      </c>
      <c r="B23" s="14" t="s">
        <v>284</v>
      </c>
      <c r="C23" s="28" t="n">
        <v>250</v>
      </c>
      <c r="D23" s="28" t="n">
        <v>13</v>
      </c>
      <c r="E23" s="28" t="n">
        <v>43</v>
      </c>
      <c r="F23" s="28" t="n">
        <v>3.4</v>
      </c>
      <c r="G23" s="14" t="s">
        <v>405</v>
      </c>
      <c r="H23" s="29" t="n">
        <v>28</v>
      </c>
      <c r="I23" s="30"/>
    </row>
    <row r="24" customFormat="false" ht="15" hidden="false" customHeight="false" outlineLevel="0" collapsed="false">
      <c r="A24" s="13" t="s">
        <v>406</v>
      </c>
      <c r="B24" s="14" t="s">
        <v>284</v>
      </c>
      <c r="C24" s="28" t="n">
        <v>218</v>
      </c>
      <c r="D24" s="28" t="n">
        <v>5.7</v>
      </c>
      <c r="E24" s="28" t="n">
        <v>44.6</v>
      </c>
      <c r="F24" s="28" t="n">
        <v>2.9</v>
      </c>
      <c r="G24" s="14" t="s">
        <v>407</v>
      </c>
      <c r="H24" s="29" t="n">
        <v>30</v>
      </c>
      <c r="I24" s="30"/>
    </row>
    <row r="25" customFormat="false" ht="15" hidden="false" customHeight="false" outlineLevel="0" collapsed="false">
      <c r="A25" s="13" t="s">
        <v>408</v>
      </c>
      <c r="B25" s="14" t="s">
        <v>364</v>
      </c>
      <c r="C25" s="28" t="n">
        <v>86</v>
      </c>
      <c r="D25" s="28" t="n">
        <v>1.6</v>
      </c>
      <c r="E25" s="28" t="n">
        <v>20.1</v>
      </c>
      <c r="F25" s="28" t="n">
        <v>0.1</v>
      </c>
      <c r="G25" s="14" t="s">
        <v>409</v>
      </c>
      <c r="H25" s="29" t="n">
        <v>130</v>
      </c>
      <c r="I25" s="30"/>
    </row>
    <row r="26" customFormat="false" ht="15" hidden="false" customHeight="false" outlineLevel="0" collapsed="false">
      <c r="A26" s="13" t="s">
        <v>410</v>
      </c>
      <c r="B26" s="14" t="s">
        <v>364</v>
      </c>
      <c r="C26" s="28" t="n">
        <v>77</v>
      </c>
      <c r="D26" s="28" t="n">
        <v>2</v>
      </c>
      <c r="E26" s="28" t="n">
        <v>17.5</v>
      </c>
      <c r="F26" s="28" t="n">
        <v>0.1</v>
      </c>
      <c r="G26" s="14" t="s">
        <v>409</v>
      </c>
      <c r="H26" s="29" t="n">
        <v>170</v>
      </c>
      <c r="I26" s="30"/>
    </row>
    <row r="27" customFormat="false" ht="15" hidden="false" customHeight="false" outlineLevel="0" collapsed="false">
      <c r="A27" s="13" t="s">
        <v>411</v>
      </c>
      <c r="B27" s="14" t="s">
        <v>412</v>
      </c>
      <c r="C27" s="28" t="n">
        <v>116</v>
      </c>
      <c r="D27" s="28" t="n">
        <v>9</v>
      </c>
      <c r="E27" s="28" t="n">
        <v>20.1</v>
      </c>
      <c r="F27" s="28" t="n">
        <v>0.4</v>
      </c>
      <c r="G27" s="14" t="s">
        <v>413</v>
      </c>
      <c r="H27" s="29" t="n">
        <v>200</v>
      </c>
      <c r="I27" s="30" t="s">
        <v>414</v>
      </c>
    </row>
    <row r="28" customFormat="false" ht="15" hidden="false" customHeight="false" outlineLevel="0" collapsed="false">
      <c r="A28" s="13" t="s">
        <v>415</v>
      </c>
      <c r="B28" s="14" t="s">
        <v>284</v>
      </c>
      <c r="C28" s="28" t="n">
        <v>160</v>
      </c>
      <c r="D28" s="28" t="n">
        <v>2</v>
      </c>
      <c r="E28" s="28" t="n">
        <v>8.5</v>
      </c>
      <c r="F28" s="28" t="n">
        <v>14.7</v>
      </c>
      <c r="G28" s="14" t="s">
        <v>416</v>
      </c>
      <c r="H28" s="29" t="n">
        <v>75</v>
      </c>
      <c r="I28" s="30" t="s">
        <v>417</v>
      </c>
    </row>
    <row r="29" customFormat="false" ht="22.35" hidden="false" customHeight="false" outlineLevel="0" collapsed="false">
      <c r="A29" s="13" t="s">
        <v>418</v>
      </c>
      <c r="B29" s="14" t="s">
        <v>284</v>
      </c>
      <c r="C29" s="28" t="n">
        <v>884</v>
      </c>
      <c r="D29" s="28" t="n">
        <v>0</v>
      </c>
      <c r="E29" s="28" t="n">
        <v>0</v>
      </c>
      <c r="F29" s="28" t="n">
        <v>100</v>
      </c>
      <c r="G29" s="14" t="s">
        <v>419</v>
      </c>
      <c r="H29" s="29" t="n">
        <v>14</v>
      </c>
      <c r="I29" s="30" t="s">
        <v>420</v>
      </c>
    </row>
    <row r="30" customFormat="false" ht="15" hidden="false" customHeight="false" outlineLevel="0" collapsed="false">
      <c r="A30" s="13" t="s">
        <v>421</v>
      </c>
      <c r="B30" s="14" t="s">
        <v>284</v>
      </c>
      <c r="C30" s="28" t="n">
        <v>588</v>
      </c>
      <c r="D30" s="28" t="n">
        <v>25</v>
      </c>
      <c r="E30" s="28" t="n">
        <v>20</v>
      </c>
      <c r="F30" s="28" t="n">
        <v>50</v>
      </c>
      <c r="G30" s="14" t="s">
        <v>419</v>
      </c>
      <c r="H30" s="29" t="n">
        <v>16</v>
      </c>
      <c r="I30" s="30"/>
    </row>
    <row r="31" customFormat="false" ht="15" hidden="false" customHeight="false" outlineLevel="0" collapsed="false">
      <c r="A31" s="13" t="s">
        <v>422</v>
      </c>
      <c r="B31" s="14" t="s">
        <v>284</v>
      </c>
      <c r="C31" s="28" t="n">
        <v>579</v>
      </c>
      <c r="D31" s="28" t="n">
        <v>21.2</v>
      </c>
      <c r="E31" s="28" t="n">
        <v>21.6</v>
      </c>
      <c r="F31" s="28" t="n">
        <v>49.9</v>
      </c>
      <c r="G31" s="14" t="s">
        <v>423</v>
      </c>
      <c r="H31" s="29" t="n">
        <v>28</v>
      </c>
      <c r="I31" s="30"/>
    </row>
    <row r="32" customFormat="false" ht="15" hidden="false" customHeight="false" outlineLevel="0" collapsed="false">
      <c r="A32" s="13" t="s">
        <v>424</v>
      </c>
      <c r="B32" s="14" t="s">
        <v>284</v>
      </c>
      <c r="C32" s="28" t="n">
        <v>562</v>
      </c>
      <c r="D32" s="28" t="n">
        <v>20.2</v>
      </c>
      <c r="E32" s="28" t="n">
        <v>27.2</v>
      </c>
      <c r="F32" s="28" t="n">
        <v>45.3</v>
      </c>
      <c r="G32" s="14" t="s">
        <v>423</v>
      </c>
      <c r="H32" s="29" t="n">
        <v>28</v>
      </c>
      <c r="I32" s="30"/>
    </row>
    <row r="33" customFormat="false" ht="15" hidden="false" customHeight="false" outlineLevel="0" collapsed="false">
      <c r="A33" s="13" t="s">
        <v>425</v>
      </c>
      <c r="B33" s="14" t="s">
        <v>284</v>
      </c>
      <c r="C33" s="28" t="n">
        <v>567</v>
      </c>
      <c r="D33" s="28" t="n">
        <v>25.8</v>
      </c>
      <c r="E33" s="28" t="n">
        <v>16.1</v>
      </c>
      <c r="F33" s="28" t="n">
        <v>49.2</v>
      </c>
      <c r="G33" s="14" t="s">
        <v>423</v>
      </c>
      <c r="H33" s="29" t="n">
        <v>28</v>
      </c>
      <c r="I33" s="30"/>
    </row>
    <row r="34" customFormat="false" ht="15" hidden="false" customHeight="false" outlineLevel="0" collapsed="false">
      <c r="A34" s="13" t="s">
        <v>426</v>
      </c>
      <c r="B34" s="14" t="s">
        <v>284</v>
      </c>
      <c r="C34" s="28" t="n">
        <v>553</v>
      </c>
      <c r="D34" s="28" t="n">
        <v>18.2</v>
      </c>
      <c r="E34" s="28" t="n">
        <v>30.2</v>
      </c>
      <c r="F34" s="28" t="n">
        <v>43.9</v>
      </c>
      <c r="G34" s="14" t="s">
        <v>419</v>
      </c>
      <c r="H34" s="29" t="n">
        <v>15</v>
      </c>
      <c r="I34" s="30"/>
    </row>
    <row r="35" customFormat="false" ht="15" hidden="false" customHeight="false" outlineLevel="0" collapsed="false">
      <c r="A35" s="13" t="s">
        <v>427</v>
      </c>
      <c r="B35" s="14" t="s">
        <v>284</v>
      </c>
      <c r="C35" s="28" t="n">
        <v>166</v>
      </c>
      <c r="D35" s="28" t="n">
        <v>7.9</v>
      </c>
      <c r="E35" s="28" t="n">
        <v>14.3</v>
      </c>
      <c r="F35" s="28" t="n">
        <v>9.6</v>
      </c>
      <c r="G35" s="14" t="s">
        <v>419</v>
      </c>
      <c r="H35" s="29" t="n">
        <v>15</v>
      </c>
      <c r="I35" s="30"/>
    </row>
    <row r="36" customFormat="false" ht="15" hidden="false" customHeight="false" outlineLevel="0" collapsed="false">
      <c r="A36" s="13" t="s">
        <v>428</v>
      </c>
      <c r="B36" s="14" t="s">
        <v>284</v>
      </c>
      <c r="C36" s="28" t="n">
        <v>89</v>
      </c>
      <c r="D36" s="28" t="n">
        <v>1.1</v>
      </c>
      <c r="E36" s="28" t="n">
        <v>22.8</v>
      </c>
      <c r="F36" s="28" t="n">
        <v>0.3</v>
      </c>
      <c r="G36" s="14" t="s">
        <v>409</v>
      </c>
      <c r="H36" s="29" t="n">
        <v>118</v>
      </c>
      <c r="I36" s="30"/>
    </row>
    <row r="37" customFormat="false" ht="15" hidden="false" customHeight="false" outlineLevel="0" collapsed="false">
      <c r="A37" s="13" t="s">
        <v>429</v>
      </c>
      <c r="B37" s="14" t="s">
        <v>284</v>
      </c>
      <c r="C37" s="28" t="n">
        <v>53</v>
      </c>
      <c r="D37" s="28" t="n">
        <v>0.8</v>
      </c>
      <c r="E37" s="28" t="n">
        <v>13.3</v>
      </c>
      <c r="F37" s="28" t="n">
        <v>0.3</v>
      </c>
      <c r="G37" s="14" t="s">
        <v>430</v>
      </c>
      <c r="H37" s="29" t="n">
        <v>90</v>
      </c>
      <c r="I37" s="30"/>
    </row>
    <row r="38" customFormat="false" ht="15" hidden="false" customHeight="false" outlineLevel="0" collapsed="false">
      <c r="A38" s="13" t="s">
        <v>431</v>
      </c>
      <c r="B38" s="14" t="s">
        <v>284</v>
      </c>
      <c r="C38" s="28" t="n">
        <v>61</v>
      </c>
      <c r="D38" s="28" t="n">
        <v>1.1</v>
      </c>
      <c r="E38" s="28" t="n">
        <v>14.7</v>
      </c>
      <c r="F38" s="28" t="n">
        <v>0.5</v>
      </c>
      <c r="G38" s="14" t="s">
        <v>430</v>
      </c>
      <c r="H38" s="29" t="n">
        <v>75</v>
      </c>
      <c r="I38" s="30"/>
    </row>
    <row r="39" customFormat="false" ht="15" hidden="false" customHeight="false" outlineLevel="0" collapsed="false">
      <c r="A39" s="13" t="s">
        <v>432</v>
      </c>
      <c r="B39" s="14" t="s">
        <v>284</v>
      </c>
      <c r="C39" s="28" t="n">
        <v>60</v>
      </c>
      <c r="D39" s="28" t="n">
        <v>0.8</v>
      </c>
      <c r="E39" s="28" t="n">
        <v>15</v>
      </c>
      <c r="F39" s="28" t="n">
        <v>0.4</v>
      </c>
      <c r="G39" s="14" t="s">
        <v>416</v>
      </c>
      <c r="H39" s="29" t="n">
        <v>100</v>
      </c>
      <c r="I39" s="30"/>
    </row>
    <row r="40" customFormat="false" ht="15" hidden="false" customHeight="false" outlineLevel="0" collapsed="false">
      <c r="A40" s="13" t="s">
        <v>433</v>
      </c>
      <c r="B40" s="14" t="s">
        <v>284</v>
      </c>
      <c r="C40" s="28" t="n">
        <v>43</v>
      </c>
      <c r="D40" s="28" t="n">
        <v>0.5</v>
      </c>
      <c r="E40" s="28" t="n">
        <v>10.8</v>
      </c>
      <c r="F40" s="28" t="n">
        <v>0.3</v>
      </c>
      <c r="G40" s="14" t="s">
        <v>434</v>
      </c>
      <c r="H40" s="29" t="n">
        <v>145</v>
      </c>
      <c r="I40" s="30"/>
    </row>
    <row r="41" customFormat="false" ht="15" hidden="false" customHeight="false" outlineLevel="0" collapsed="false">
      <c r="A41" s="13" t="s">
        <v>435</v>
      </c>
      <c r="B41" s="14" t="s">
        <v>284</v>
      </c>
      <c r="C41" s="28" t="n">
        <v>32</v>
      </c>
      <c r="D41" s="28" t="n">
        <v>0.7</v>
      </c>
      <c r="E41" s="28" t="n">
        <v>7.7</v>
      </c>
      <c r="F41" s="28" t="n">
        <v>0.3</v>
      </c>
      <c r="G41" s="14" t="s">
        <v>392</v>
      </c>
      <c r="H41" s="29" t="n">
        <v>150</v>
      </c>
      <c r="I41" s="30" t="s">
        <v>436</v>
      </c>
    </row>
    <row r="42" customFormat="false" ht="15" hidden="false" customHeight="false" outlineLevel="0" collapsed="false">
      <c r="A42" s="13" t="s">
        <v>437</v>
      </c>
      <c r="B42" s="14" t="s">
        <v>284</v>
      </c>
      <c r="C42" s="28" t="n">
        <v>17</v>
      </c>
      <c r="D42" s="28" t="n">
        <v>1.2</v>
      </c>
      <c r="E42" s="28" t="n">
        <v>3</v>
      </c>
      <c r="F42" s="28" t="n">
        <v>0.2</v>
      </c>
      <c r="G42" s="14" t="s">
        <v>392</v>
      </c>
      <c r="H42" s="29" t="n">
        <v>50</v>
      </c>
      <c r="I42" s="30" t="s">
        <v>438</v>
      </c>
    </row>
    <row r="43" customFormat="false" ht="15" hidden="false" customHeight="false" outlineLevel="0" collapsed="false">
      <c r="A43" s="13" t="s">
        <v>439</v>
      </c>
      <c r="B43" s="14" t="s">
        <v>284</v>
      </c>
      <c r="C43" s="28" t="n">
        <v>45</v>
      </c>
      <c r="D43" s="28" t="n">
        <v>2</v>
      </c>
      <c r="E43" s="28" t="n">
        <v>8</v>
      </c>
      <c r="F43" s="28" t="n">
        <v>0.5</v>
      </c>
      <c r="G43" s="14" t="s">
        <v>392</v>
      </c>
      <c r="H43" s="29" t="n">
        <v>130</v>
      </c>
      <c r="I43" s="30" t="s">
        <v>440</v>
      </c>
    </row>
    <row r="44" customFormat="false" ht="15" hidden="false" customHeight="false" outlineLevel="0" collapsed="false">
      <c r="A44" s="13" t="s">
        <v>441</v>
      </c>
      <c r="B44" s="14" t="s">
        <v>284</v>
      </c>
      <c r="C44" s="28" t="n">
        <v>23</v>
      </c>
      <c r="D44" s="28" t="n">
        <v>2.9</v>
      </c>
      <c r="E44" s="28" t="n">
        <v>3.6</v>
      </c>
      <c r="F44" s="28" t="n">
        <v>0.4</v>
      </c>
      <c r="G44" s="14" t="s">
        <v>392</v>
      </c>
      <c r="H44" s="29" t="n">
        <v>30</v>
      </c>
      <c r="I44" s="30"/>
    </row>
    <row r="45" customFormat="false" ht="15" hidden="false" customHeight="false" outlineLevel="0" collapsed="false">
      <c r="A45" s="13" t="s">
        <v>442</v>
      </c>
      <c r="B45" s="14" t="s">
        <v>364</v>
      </c>
      <c r="C45" s="28" t="n">
        <v>34</v>
      </c>
      <c r="D45" s="28" t="n">
        <v>2.8</v>
      </c>
      <c r="E45" s="28" t="n">
        <v>6.6</v>
      </c>
      <c r="F45" s="28" t="n">
        <v>0.4</v>
      </c>
      <c r="G45" s="14" t="s">
        <v>392</v>
      </c>
      <c r="H45" s="29" t="n">
        <v>90</v>
      </c>
      <c r="I45" s="30"/>
    </row>
    <row r="46" customFormat="false" ht="15" hidden="false" customHeight="false" outlineLevel="0" collapsed="false">
      <c r="A46" s="13" t="s">
        <v>443</v>
      </c>
      <c r="B46" s="14" t="s">
        <v>284</v>
      </c>
      <c r="C46" s="28" t="n">
        <v>238</v>
      </c>
      <c r="D46" s="28" t="n">
        <v>0.4</v>
      </c>
      <c r="E46" s="28" t="n">
        <v>8</v>
      </c>
      <c r="F46" s="28" t="n">
        <v>22</v>
      </c>
      <c r="G46" s="14" t="s">
        <v>419</v>
      </c>
      <c r="H46" s="29" t="n">
        <v>14</v>
      </c>
      <c r="I46" s="30"/>
    </row>
    <row r="47" customFormat="false" ht="22.35" hidden="false" customHeight="false" outlineLevel="0" collapsed="false">
      <c r="A47" s="13" t="s">
        <v>332</v>
      </c>
      <c r="B47" s="14" t="s">
        <v>387</v>
      </c>
      <c r="C47" s="28" t="n">
        <v>0</v>
      </c>
      <c r="D47" s="28" t="n">
        <v>0</v>
      </c>
      <c r="E47" s="28" t="n">
        <v>0</v>
      </c>
      <c r="F47" s="28" t="n">
        <v>0</v>
      </c>
      <c r="G47" s="14" t="s">
        <v>444</v>
      </c>
      <c r="H47" s="29" t="n">
        <v>5</v>
      </c>
      <c r="I47" s="30"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12"/>
    <col collapsed="false" customWidth="true" hidden="false" outlineLevel="0" max="7" min="4" style="0" width="11"/>
    <col collapsed="false" customWidth="true" hidden="false" outlineLevel="0" max="8" min="8" style="0" width="40"/>
  </cols>
  <sheetData>
    <row r="1" customFormat="false" ht="24" hidden="false" customHeight="true" outlineLevel="0" collapsed="false">
      <c r="A1" s="1" t="s">
        <v>446</v>
      </c>
      <c r="B1" s="2"/>
      <c r="C1" s="2"/>
      <c r="D1" s="2"/>
      <c r="E1" s="2"/>
      <c r="F1" s="2"/>
      <c r="G1" s="2"/>
      <c r="H1" s="2"/>
    </row>
    <row r="2" customFormat="false" ht="15" hidden="false" customHeight="false" outlineLevel="0" collapsed="false">
      <c r="A2" s="7" t="s">
        <v>447</v>
      </c>
    </row>
    <row r="4" customFormat="false" ht="19.5" hidden="false" customHeight="true" outlineLevel="0" collapsed="false">
      <c r="A4" s="8" t="s">
        <v>448</v>
      </c>
      <c r="B4" s="2"/>
      <c r="C4" s="2"/>
      <c r="D4" s="2"/>
      <c r="E4" s="2"/>
      <c r="F4" s="2"/>
      <c r="G4" s="2"/>
      <c r="H4" s="2"/>
    </row>
    <row r="5" customFormat="false" ht="30" hidden="false" customHeight="true" outlineLevel="0" collapsed="false">
      <c r="A5" s="9" t="s">
        <v>449</v>
      </c>
      <c r="B5" s="9" t="s">
        <v>354</v>
      </c>
      <c r="C5" s="9" t="s">
        <v>450</v>
      </c>
      <c r="D5" s="9" t="s">
        <v>451</v>
      </c>
      <c r="E5" s="9" t="s">
        <v>452</v>
      </c>
      <c r="F5" s="9" t="s">
        <v>453</v>
      </c>
      <c r="G5" s="9" t="s">
        <v>454</v>
      </c>
      <c r="H5" s="9" t="s">
        <v>362</v>
      </c>
    </row>
    <row r="6" customFormat="false" ht="15" hidden="false" customHeight="false" outlineLevel="0" collapsed="false">
      <c r="A6" s="13" t="s">
        <v>198</v>
      </c>
      <c r="B6" s="14" t="s">
        <v>381</v>
      </c>
      <c r="C6" s="31" t="n">
        <v>150</v>
      </c>
      <c r="D6" s="28" t="n">
        <f aca="false">IFERROR(INDEX(ALIMENTOS!$C$4:$C$47,MATCH($B6,ALIMENTOS!$A$4:$A$47,0))*$C6/100,"")</f>
        <v>214.5</v>
      </c>
      <c r="E6" s="28" t="n">
        <f aca="false">IFERROR(INDEX(ALIMENTOS!$D$4:$D$47,MATCH($B6,ALIMENTOS!$A$4:$A$47,0))*$C6/100,"")</f>
        <v>18.9</v>
      </c>
      <c r="F6" s="28" t="n">
        <f aca="false">IFERROR(INDEX(ALIMENTOS!$E$4:$E$47,MATCH($B6,ALIMENTOS!$A$4:$A$47,0))*$C6/100,"")</f>
        <v>1.05</v>
      </c>
      <c r="G6" s="28" t="n">
        <f aca="false">IFERROR(INDEX(ALIMENTOS!$F$4:$F$47,MATCH($B6,ALIMENTOS!$A$4:$A$47,0))*$C6/100,"")</f>
        <v>14.85</v>
      </c>
      <c r="H6" s="30" t="s">
        <v>455</v>
      </c>
    </row>
    <row r="7" customFormat="false" ht="15" hidden="false" customHeight="false" outlineLevel="0" collapsed="false">
      <c r="A7" s="13" t="s">
        <v>198</v>
      </c>
      <c r="B7" s="14" t="s">
        <v>384</v>
      </c>
      <c r="C7" s="31" t="n">
        <v>200</v>
      </c>
      <c r="D7" s="28" t="n">
        <f aca="false">IFERROR(INDEX(ALIMENTOS!$C$4:$C$47,MATCH($B7,ALIMENTOS!$A$4:$A$47,0))*$C7/100,"")</f>
        <v>104</v>
      </c>
      <c r="E7" s="28" t="n">
        <f aca="false">IFERROR(INDEX(ALIMENTOS!$D$4:$D$47,MATCH($B7,ALIMENTOS!$A$4:$A$47,0))*$C7/100,"")</f>
        <v>21.8</v>
      </c>
      <c r="F7" s="28" t="n">
        <f aca="false">IFERROR(INDEX(ALIMENTOS!$E$4:$E$47,MATCH($B7,ALIMENTOS!$A$4:$A$47,0))*$C7/100,"")</f>
        <v>1.4</v>
      </c>
      <c r="G7" s="28" t="n">
        <f aca="false">IFERROR(INDEX(ALIMENTOS!$F$4:$F$47,MATCH($B7,ALIMENTOS!$A$4:$A$47,0))*$C7/100,"")</f>
        <v>0.4</v>
      </c>
      <c r="H7" s="30" t="s">
        <v>456</v>
      </c>
    </row>
    <row r="8" customFormat="false" ht="15" hidden="false" customHeight="false" outlineLevel="0" collapsed="false">
      <c r="A8" s="13" t="s">
        <v>198</v>
      </c>
      <c r="B8" s="14" t="s">
        <v>402</v>
      </c>
      <c r="C8" s="31" t="n">
        <v>90</v>
      </c>
      <c r="D8" s="28" t="n">
        <f aca="false">IFERROR(INDEX(ALIMENTOS!$C$4:$C$47,MATCH($B8,ALIMENTOS!$A$4:$A$47,0))*$C8/100,"")</f>
        <v>350.1</v>
      </c>
      <c r="E8" s="28" t="n">
        <f aca="false">IFERROR(INDEX(ALIMENTOS!$D$4:$D$47,MATCH($B8,ALIMENTOS!$A$4:$A$47,0))*$C8/100,"")</f>
        <v>15.21</v>
      </c>
      <c r="F8" s="28" t="n">
        <f aca="false">IFERROR(INDEX(ALIMENTOS!$E$4:$E$47,MATCH($B8,ALIMENTOS!$A$4:$A$47,0))*$C8/100,"")</f>
        <v>59.67</v>
      </c>
      <c r="G8" s="28" t="n">
        <f aca="false">IFERROR(INDEX(ALIMENTOS!$F$4:$F$47,MATCH($B8,ALIMENTOS!$A$4:$A$47,0))*$C8/100,"")</f>
        <v>6.21</v>
      </c>
      <c r="H8" s="30" t="s">
        <v>457</v>
      </c>
    </row>
    <row r="9" customFormat="false" ht="15" hidden="false" customHeight="false" outlineLevel="0" collapsed="false">
      <c r="A9" s="13" t="s">
        <v>198</v>
      </c>
      <c r="B9" s="14" t="s">
        <v>428</v>
      </c>
      <c r="C9" s="31" t="n">
        <v>150</v>
      </c>
      <c r="D9" s="28" t="n">
        <f aca="false">IFERROR(INDEX(ALIMENTOS!$C$4:$C$47,MATCH($B9,ALIMENTOS!$A$4:$A$47,0))*$C9/100,"")</f>
        <v>133.5</v>
      </c>
      <c r="E9" s="28" t="n">
        <f aca="false">IFERROR(INDEX(ALIMENTOS!$D$4:$D$47,MATCH($B9,ALIMENTOS!$A$4:$A$47,0))*$C9/100,"")</f>
        <v>1.65</v>
      </c>
      <c r="F9" s="28" t="n">
        <f aca="false">IFERROR(INDEX(ALIMENTOS!$E$4:$E$47,MATCH($B9,ALIMENTOS!$A$4:$A$47,0))*$C9/100,"")</f>
        <v>34.2</v>
      </c>
      <c r="G9" s="28" t="n">
        <f aca="false">IFERROR(INDEX(ALIMENTOS!$F$4:$F$47,MATCH($B9,ALIMENTOS!$A$4:$A$47,0))*$C9/100,"")</f>
        <v>0.45</v>
      </c>
      <c r="H9" s="30"/>
    </row>
    <row r="10" customFormat="false" ht="15" hidden="false" customHeight="false" outlineLevel="0" collapsed="false">
      <c r="A10" s="13" t="s">
        <v>198</v>
      </c>
      <c r="B10" s="14" t="s">
        <v>421</v>
      </c>
      <c r="C10" s="31" t="n">
        <v>16</v>
      </c>
      <c r="D10" s="28" t="n">
        <f aca="false">IFERROR(INDEX(ALIMENTOS!$C$4:$C$47,MATCH($B10,ALIMENTOS!$A$4:$A$47,0))*$C10/100,"")</f>
        <v>94.08</v>
      </c>
      <c r="E10" s="28" t="n">
        <f aca="false">IFERROR(INDEX(ALIMENTOS!$D$4:$D$47,MATCH($B10,ALIMENTOS!$A$4:$A$47,0))*$C10/100,"")</f>
        <v>4</v>
      </c>
      <c r="F10" s="28" t="n">
        <f aca="false">IFERROR(INDEX(ALIMENTOS!$E$4:$E$47,MATCH($B10,ALIMENTOS!$A$4:$A$47,0))*$C10/100,"")</f>
        <v>3.2</v>
      </c>
      <c r="G10" s="28" t="n">
        <f aca="false">IFERROR(INDEX(ALIMENTOS!$F$4:$F$47,MATCH($B10,ALIMENTOS!$A$4:$A$47,0))*$C10/100,"")</f>
        <v>8</v>
      </c>
      <c r="H10" s="30" t="s">
        <v>458</v>
      </c>
    </row>
    <row r="11" customFormat="false" ht="15" hidden="false" customHeight="false" outlineLevel="0" collapsed="false">
      <c r="A11" s="13" t="s">
        <v>99</v>
      </c>
      <c r="B11" s="14" t="s">
        <v>363</v>
      </c>
      <c r="C11" s="31" t="n">
        <v>250</v>
      </c>
      <c r="D11" s="28" t="n">
        <f aca="false">IFERROR(INDEX(ALIMENTOS!$C$4:$C$47,MATCH($B11,ALIMENTOS!$A$4:$A$47,0))*$C11/100,"")</f>
        <v>300</v>
      </c>
      <c r="E11" s="28" t="n">
        <f aca="false">IFERROR(INDEX(ALIMENTOS!$D$4:$D$47,MATCH($B11,ALIMENTOS!$A$4:$A$47,0))*$C11/100,"")</f>
        <v>56.25</v>
      </c>
      <c r="F11" s="28" t="n">
        <f aca="false">IFERROR(INDEX(ALIMENTOS!$E$4:$E$47,MATCH($B11,ALIMENTOS!$A$4:$A$47,0))*$C11/100,"")</f>
        <v>0</v>
      </c>
      <c r="G11" s="28" t="n">
        <f aca="false">IFERROR(INDEX(ALIMENTOS!$F$4:$F$47,MATCH($B11,ALIMENTOS!$A$4:$A$47,0))*$C11/100,"")</f>
        <v>6.5</v>
      </c>
      <c r="H11" s="30" t="s">
        <v>459</v>
      </c>
    </row>
    <row r="12" customFormat="false" ht="15" hidden="false" customHeight="false" outlineLevel="0" collapsed="false">
      <c r="A12" s="13" t="s">
        <v>99</v>
      </c>
      <c r="B12" s="14" t="s">
        <v>396</v>
      </c>
      <c r="C12" s="31" t="n">
        <v>130</v>
      </c>
      <c r="D12" s="28" t="n">
        <f aca="false">IFERROR(INDEX(ALIMENTOS!$C$4:$C$47,MATCH($B12,ALIMENTOS!$A$4:$A$47,0))*$C12/100,"")</f>
        <v>468</v>
      </c>
      <c r="E12" s="28" t="n">
        <f aca="false">IFERROR(INDEX(ALIMENTOS!$D$4:$D$47,MATCH($B12,ALIMENTOS!$A$4:$A$47,0))*$C12/100,"")</f>
        <v>8.58</v>
      </c>
      <c r="F12" s="28" t="n">
        <f aca="false">IFERROR(INDEX(ALIMENTOS!$E$4:$E$47,MATCH($B12,ALIMENTOS!$A$4:$A$47,0))*$C12/100,"")</f>
        <v>103.09</v>
      </c>
      <c r="G12" s="28" t="n">
        <f aca="false">IFERROR(INDEX(ALIMENTOS!$F$4:$F$47,MATCH($B12,ALIMENTOS!$A$4:$A$47,0))*$C12/100,"")</f>
        <v>0.78</v>
      </c>
      <c r="H12" s="30" t="s">
        <v>460</v>
      </c>
    </row>
    <row r="13" customFormat="false" ht="15" hidden="false" customHeight="false" outlineLevel="0" collapsed="false">
      <c r="A13" s="13" t="s">
        <v>99</v>
      </c>
      <c r="B13" s="14" t="s">
        <v>415</v>
      </c>
      <c r="C13" s="31" t="n">
        <v>60</v>
      </c>
      <c r="D13" s="28" t="n">
        <f aca="false">IFERROR(INDEX(ALIMENTOS!$C$4:$C$47,MATCH($B13,ALIMENTOS!$A$4:$A$47,0))*$C13/100,"")</f>
        <v>96</v>
      </c>
      <c r="E13" s="28" t="n">
        <f aca="false">IFERROR(INDEX(ALIMENTOS!$D$4:$D$47,MATCH($B13,ALIMENTOS!$A$4:$A$47,0))*$C13/100,"")</f>
        <v>1.2</v>
      </c>
      <c r="F13" s="28" t="n">
        <f aca="false">IFERROR(INDEX(ALIMENTOS!$E$4:$E$47,MATCH($B13,ALIMENTOS!$A$4:$A$47,0))*$C13/100,"")</f>
        <v>5.1</v>
      </c>
      <c r="G13" s="28" t="n">
        <f aca="false">IFERROR(INDEX(ALIMENTOS!$F$4:$F$47,MATCH($B13,ALIMENTOS!$A$4:$A$47,0))*$C13/100,"")</f>
        <v>8.82</v>
      </c>
      <c r="H13" s="30"/>
    </row>
    <row r="14" customFormat="false" ht="15" hidden="false" customHeight="false" outlineLevel="0" collapsed="false">
      <c r="A14" s="13" t="s">
        <v>99</v>
      </c>
      <c r="B14" s="14" t="s">
        <v>437</v>
      </c>
      <c r="C14" s="31" t="n">
        <v>150</v>
      </c>
      <c r="D14" s="28" t="n">
        <f aca="false">IFERROR(INDEX(ALIMENTOS!$C$4:$C$47,MATCH($B14,ALIMENTOS!$A$4:$A$47,0))*$C14/100,"")</f>
        <v>25.5</v>
      </c>
      <c r="E14" s="28" t="n">
        <f aca="false">IFERROR(INDEX(ALIMENTOS!$D$4:$D$47,MATCH($B14,ALIMENTOS!$A$4:$A$47,0))*$C14/100,"")</f>
        <v>1.8</v>
      </c>
      <c r="F14" s="28" t="n">
        <f aca="false">IFERROR(INDEX(ALIMENTOS!$E$4:$E$47,MATCH($B14,ALIMENTOS!$A$4:$A$47,0))*$C14/100,"")</f>
        <v>4.5</v>
      </c>
      <c r="G14" s="28" t="n">
        <f aca="false">IFERROR(INDEX(ALIMENTOS!$F$4:$F$47,MATCH($B14,ALIMENTOS!$A$4:$A$47,0))*$C14/100,"")</f>
        <v>0.3</v>
      </c>
      <c r="H14" s="30"/>
    </row>
    <row r="15" customFormat="false" ht="15" hidden="false" customHeight="false" outlineLevel="0" collapsed="false">
      <c r="A15" s="13" t="s">
        <v>99</v>
      </c>
      <c r="B15" s="14" t="s">
        <v>418</v>
      </c>
      <c r="C15" s="31" t="n">
        <v>7</v>
      </c>
      <c r="D15" s="28" t="n">
        <f aca="false">IFERROR(INDEX(ALIMENTOS!$C$4:$C$47,MATCH($B15,ALIMENTOS!$A$4:$A$47,0))*$C15/100,"")</f>
        <v>61.88</v>
      </c>
      <c r="E15" s="28" t="n">
        <f aca="false">IFERROR(INDEX(ALIMENTOS!$D$4:$D$47,MATCH($B15,ALIMENTOS!$A$4:$A$47,0))*$C15/100,"")</f>
        <v>0</v>
      </c>
      <c r="F15" s="28" t="n">
        <f aca="false">IFERROR(INDEX(ALIMENTOS!$E$4:$E$47,MATCH($B15,ALIMENTOS!$A$4:$A$47,0))*$C15/100,"")</f>
        <v>0</v>
      </c>
      <c r="G15" s="28" t="n">
        <f aca="false">IFERROR(INDEX(ALIMENTOS!$F$4:$F$47,MATCH($B15,ALIMENTOS!$A$4:$A$47,0))*$C15/100,"")</f>
        <v>7</v>
      </c>
      <c r="H15" s="30" t="s">
        <v>461</v>
      </c>
    </row>
    <row r="16" customFormat="false" ht="15" hidden="false" customHeight="false" outlineLevel="0" collapsed="false">
      <c r="A16" s="13" t="s">
        <v>108</v>
      </c>
      <c r="B16" s="14" t="s">
        <v>338</v>
      </c>
      <c r="C16" s="31" t="n">
        <v>30</v>
      </c>
      <c r="D16" s="28" t="n">
        <f aca="false">IFERROR(INDEX(ALIMENTOS!$C$4:$C$47,MATCH($B16,ALIMENTOS!$A$4:$A$47,0))*$C16/100,"")</f>
        <v>120</v>
      </c>
      <c r="E16" s="28" t="n">
        <f aca="false">IFERROR(INDEX(ALIMENTOS!$D$4:$D$47,MATCH($B16,ALIMENTOS!$A$4:$A$47,0))*$C16/100,"")</f>
        <v>24</v>
      </c>
      <c r="F16" s="28" t="n">
        <f aca="false">IFERROR(INDEX(ALIMENTOS!$E$4:$E$47,MATCH($B16,ALIMENTOS!$A$4:$A$47,0))*$C16/100,"")</f>
        <v>3</v>
      </c>
      <c r="G16" s="28" t="n">
        <f aca="false">IFERROR(INDEX(ALIMENTOS!$F$4:$F$47,MATCH($B16,ALIMENTOS!$A$4:$A$47,0))*$C16/100,"")</f>
        <v>1.5</v>
      </c>
      <c r="H16" s="30" t="s">
        <v>388</v>
      </c>
    </row>
    <row r="17" customFormat="false" ht="15" hidden="false" customHeight="false" outlineLevel="0" collapsed="false">
      <c r="A17" s="13" t="s">
        <v>108</v>
      </c>
      <c r="B17" s="14" t="s">
        <v>404</v>
      </c>
      <c r="C17" s="31" t="n">
        <v>56</v>
      </c>
      <c r="D17" s="28" t="n">
        <f aca="false">IFERROR(INDEX(ALIMENTOS!$C$4:$C$47,MATCH($B17,ALIMENTOS!$A$4:$A$47,0))*$C17/100,"")</f>
        <v>140</v>
      </c>
      <c r="E17" s="28" t="n">
        <f aca="false">IFERROR(INDEX(ALIMENTOS!$D$4:$D$47,MATCH($B17,ALIMENTOS!$A$4:$A$47,0))*$C17/100,"")</f>
        <v>7.28</v>
      </c>
      <c r="F17" s="28" t="n">
        <f aca="false">IFERROR(INDEX(ALIMENTOS!$E$4:$E$47,MATCH($B17,ALIMENTOS!$A$4:$A$47,0))*$C17/100,"")</f>
        <v>24.08</v>
      </c>
      <c r="G17" s="28" t="n">
        <f aca="false">IFERROR(INDEX(ALIMENTOS!$F$4:$F$47,MATCH($B17,ALIMENTOS!$A$4:$A$47,0))*$C17/100,"")</f>
        <v>1.904</v>
      </c>
      <c r="H17" s="30" t="s">
        <v>462</v>
      </c>
    </row>
    <row r="18" customFormat="false" ht="15" hidden="false" customHeight="false" outlineLevel="0" collapsed="false">
      <c r="A18" s="13" t="s">
        <v>108</v>
      </c>
      <c r="B18" s="14" t="s">
        <v>429</v>
      </c>
      <c r="C18" s="31" t="n">
        <v>100</v>
      </c>
      <c r="D18" s="28" t="n">
        <f aca="false">IFERROR(INDEX(ALIMENTOS!$C$4:$C$47,MATCH($B18,ALIMENTOS!$A$4:$A$47,0))*$C18/100,"")</f>
        <v>53</v>
      </c>
      <c r="E18" s="28" t="n">
        <f aca="false">IFERROR(INDEX(ALIMENTOS!$D$4:$D$47,MATCH($B18,ALIMENTOS!$A$4:$A$47,0))*$C18/100,"")</f>
        <v>0.8</v>
      </c>
      <c r="F18" s="28" t="n">
        <f aca="false">IFERROR(INDEX(ALIMENTOS!$E$4:$E$47,MATCH($B18,ALIMENTOS!$A$4:$A$47,0))*$C18/100,"")</f>
        <v>13.3</v>
      </c>
      <c r="G18" s="28" t="n">
        <f aca="false">IFERROR(INDEX(ALIMENTOS!$F$4:$F$47,MATCH($B18,ALIMENTOS!$A$4:$A$47,0))*$C18/100,"")</f>
        <v>0.3</v>
      </c>
      <c r="H18" s="30"/>
    </row>
    <row r="19" customFormat="false" ht="15" hidden="false" customHeight="false" outlineLevel="0" collapsed="false">
      <c r="A19" s="13" t="s">
        <v>115</v>
      </c>
      <c r="B19" s="14" t="s">
        <v>367</v>
      </c>
      <c r="C19" s="31" t="n">
        <v>250</v>
      </c>
      <c r="D19" s="28" t="n">
        <f aca="false">IFERROR(INDEX(ALIMENTOS!$C$4:$C$47,MATCH($B19,ALIMENTOS!$A$4:$A$47,0))*$C19/100,"")</f>
        <v>240</v>
      </c>
      <c r="E19" s="28" t="n">
        <f aca="false">IFERROR(INDEX(ALIMENTOS!$D$4:$D$47,MATCH($B19,ALIMENTOS!$A$4:$A$47,0))*$C19/100,"")</f>
        <v>50.25</v>
      </c>
      <c r="F19" s="28" t="n">
        <f aca="false">IFERROR(INDEX(ALIMENTOS!$E$4:$E$47,MATCH($B19,ALIMENTOS!$A$4:$A$47,0))*$C19/100,"")</f>
        <v>0</v>
      </c>
      <c r="G19" s="28" t="n">
        <f aca="false">IFERROR(INDEX(ALIMENTOS!$F$4:$F$47,MATCH($B19,ALIMENTOS!$A$4:$A$47,0))*$C19/100,"")</f>
        <v>4.25</v>
      </c>
      <c r="H19" s="30" t="s">
        <v>463</v>
      </c>
    </row>
    <row r="20" customFormat="false" ht="15" hidden="false" customHeight="false" outlineLevel="0" collapsed="false">
      <c r="A20" s="13" t="s">
        <v>115</v>
      </c>
      <c r="B20" s="14" t="s">
        <v>408</v>
      </c>
      <c r="C20" s="31" t="n">
        <v>250</v>
      </c>
      <c r="D20" s="28" t="n">
        <f aca="false">IFERROR(INDEX(ALIMENTOS!$C$4:$C$47,MATCH($B20,ALIMENTOS!$A$4:$A$47,0))*$C20/100,"")</f>
        <v>215</v>
      </c>
      <c r="E20" s="28" t="n">
        <f aca="false">IFERROR(INDEX(ALIMENTOS!$D$4:$D$47,MATCH($B20,ALIMENTOS!$A$4:$A$47,0))*$C20/100,"")</f>
        <v>4</v>
      </c>
      <c r="F20" s="28" t="n">
        <f aca="false">IFERROR(INDEX(ALIMENTOS!$E$4:$E$47,MATCH($B20,ALIMENTOS!$A$4:$A$47,0))*$C20/100,"")</f>
        <v>50.25</v>
      </c>
      <c r="G20" s="28" t="n">
        <f aca="false">IFERROR(INDEX(ALIMENTOS!$F$4:$F$47,MATCH($B20,ALIMENTOS!$A$4:$A$47,0))*$C20/100,"")</f>
        <v>0.25</v>
      </c>
      <c r="H20" s="30" t="s">
        <v>459</v>
      </c>
    </row>
    <row r="21" customFormat="false" ht="15" hidden="false" customHeight="false" outlineLevel="0" collapsed="false">
      <c r="A21" s="13" t="s">
        <v>115</v>
      </c>
      <c r="B21" s="14" t="s">
        <v>439</v>
      </c>
      <c r="C21" s="31" t="n">
        <v>200</v>
      </c>
      <c r="D21" s="28" t="n">
        <f aca="false">IFERROR(INDEX(ALIMENTOS!$C$4:$C$47,MATCH($B21,ALIMENTOS!$A$4:$A$47,0))*$C21/100,"")</f>
        <v>90</v>
      </c>
      <c r="E21" s="28" t="n">
        <f aca="false">IFERROR(INDEX(ALIMENTOS!$D$4:$D$47,MATCH($B21,ALIMENTOS!$A$4:$A$47,0))*$C21/100,"")</f>
        <v>4</v>
      </c>
      <c r="F21" s="28" t="n">
        <f aca="false">IFERROR(INDEX(ALIMENTOS!$E$4:$E$47,MATCH($B21,ALIMENTOS!$A$4:$A$47,0))*$C21/100,"")</f>
        <v>16</v>
      </c>
      <c r="G21" s="28" t="n">
        <f aca="false">IFERROR(INDEX(ALIMENTOS!$F$4:$F$47,MATCH($B21,ALIMENTOS!$A$4:$A$47,0))*$C21/100,"")</f>
        <v>1</v>
      </c>
      <c r="H21" s="30"/>
    </row>
    <row r="22" customFormat="false" ht="15" hidden="false" customHeight="false" outlineLevel="0" collapsed="false">
      <c r="A22" s="13" t="s">
        <v>115</v>
      </c>
      <c r="B22" s="14" t="s">
        <v>418</v>
      </c>
      <c r="C22" s="31" t="n">
        <v>7</v>
      </c>
      <c r="D22" s="28" t="n">
        <f aca="false">IFERROR(INDEX(ALIMENTOS!$C$4:$C$47,MATCH($B22,ALIMENTOS!$A$4:$A$47,0))*$C22/100,"")</f>
        <v>61.88</v>
      </c>
      <c r="E22" s="28" t="n">
        <f aca="false">IFERROR(INDEX(ALIMENTOS!$D$4:$D$47,MATCH($B22,ALIMENTOS!$A$4:$A$47,0))*$C22/100,"")</f>
        <v>0</v>
      </c>
      <c r="F22" s="28" t="n">
        <f aca="false">IFERROR(INDEX(ALIMENTOS!$E$4:$E$47,MATCH($B22,ALIMENTOS!$A$4:$A$47,0))*$C22/100,"")</f>
        <v>0</v>
      </c>
      <c r="G22" s="28" t="n">
        <f aca="false">IFERROR(INDEX(ALIMENTOS!$F$4:$F$47,MATCH($B22,ALIMENTOS!$A$4:$A$47,0))*$C22/100,"")</f>
        <v>7</v>
      </c>
      <c r="H22" s="30"/>
    </row>
    <row r="23" customFormat="false" ht="15" hidden="false" customHeight="false" outlineLevel="0" collapsed="false">
      <c r="A23" s="32"/>
      <c r="B23" s="33" t="s">
        <v>464</v>
      </c>
      <c r="C23" s="32"/>
      <c r="D23" s="34" t="n">
        <f aca="false">SUM(D6:D22)</f>
        <v>2767.44</v>
      </c>
      <c r="E23" s="34" t="n">
        <f aca="false">SUM(E6:E22)</f>
        <v>219.72</v>
      </c>
      <c r="F23" s="34" t="n">
        <f aca="false">SUM(F6:F22)</f>
        <v>318.84</v>
      </c>
      <c r="G23" s="34" t="n">
        <f aca="false">SUM(G6:G22)</f>
        <v>69.514</v>
      </c>
      <c r="H23" s="32"/>
    </row>
    <row r="24" customFormat="false" ht="15" hidden="false" customHeight="false" outlineLevel="0" collapsed="false">
      <c r="B24" s="3" t="s">
        <v>465</v>
      </c>
      <c r="D24" s="35" t="n">
        <f aca="false">NUTRICION!$C$20</f>
        <v>2750</v>
      </c>
      <c r="E24" s="35" t="n">
        <f aca="false">NUTRICION!$C$23</f>
        <v>189</v>
      </c>
      <c r="F24" s="35" t="n">
        <f aca="false">NUTRICION!$C$25</f>
        <v>341</v>
      </c>
      <c r="G24" s="35" t="n">
        <f aca="false">NUTRICION!$C$24</f>
        <v>70</v>
      </c>
    </row>
    <row r="25" customFormat="false" ht="15" hidden="false" customHeight="false" outlineLevel="0" collapsed="false">
      <c r="B25" s="3" t="s">
        <v>466</v>
      </c>
      <c r="D25" s="36" t="n">
        <f aca="false">D23-D24</f>
        <v>17.4400000000001</v>
      </c>
      <c r="E25" s="36" t="n">
        <f aca="false">E23-E24</f>
        <v>30.72</v>
      </c>
      <c r="F25" s="36" t="n">
        <f aca="false">F23-F24</f>
        <v>-22.16</v>
      </c>
      <c r="G25" s="36" t="n">
        <f aca="false">G23-G24</f>
        <v>-0.48599999999999</v>
      </c>
    </row>
    <row r="26" customFormat="false" ht="30" hidden="false" customHeight="true" outlineLevel="0" collapsed="false">
      <c r="A26" s="37" t="s">
        <v>467</v>
      </c>
      <c r="B26" s="37"/>
      <c r="C26" s="37"/>
      <c r="D26" s="37"/>
      <c r="E26" s="37"/>
      <c r="F26" s="37"/>
      <c r="G26" s="37"/>
      <c r="H26" s="37"/>
    </row>
    <row r="28" customFormat="false" ht="19.5" hidden="false" customHeight="true" outlineLevel="0" collapsed="false">
      <c r="A28" s="8" t="s">
        <v>468</v>
      </c>
      <c r="B28" s="2"/>
      <c r="C28" s="2"/>
      <c r="D28" s="2"/>
      <c r="E28" s="2"/>
      <c r="F28" s="2"/>
      <c r="G28" s="2"/>
      <c r="H28" s="2"/>
    </row>
    <row r="29" customFormat="false" ht="30" hidden="false" customHeight="true" outlineLevel="0" collapsed="false">
      <c r="A29" s="9" t="s">
        <v>449</v>
      </c>
      <c r="B29" s="9" t="s">
        <v>354</v>
      </c>
      <c r="C29" s="9" t="s">
        <v>450</v>
      </c>
      <c r="D29" s="9" t="s">
        <v>451</v>
      </c>
      <c r="E29" s="9" t="s">
        <v>452</v>
      </c>
      <c r="F29" s="9" t="s">
        <v>453</v>
      </c>
      <c r="G29" s="9" t="s">
        <v>454</v>
      </c>
      <c r="H29" s="9" t="s">
        <v>362</v>
      </c>
    </row>
    <row r="30" customFormat="false" ht="15" hidden="false" customHeight="false" outlineLevel="0" collapsed="false">
      <c r="A30" s="13" t="s">
        <v>198</v>
      </c>
      <c r="B30" s="14" t="s">
        <v>381</v>
      </c>
      <c r="C30" s="31" t="n">
        <v>150</v>
      </c>
      <c r="D30" s="28" t="n">
        <f aca="false">IFERROR(INDEX(ALIMENTOS!$C$4:$C$47,MATCH($B30,ALIMENTOS!$A$4:$A$47,0))*$C30/100,"")</f>
        <v>214.5</v>
      </c>
      <c r="E30" s="28" t="n">
        <f aca="false">IFERROR(INDEX(ALIMENTOS!$D$4:$D$47,MATCH($B30,ALIMENTOS!$A$4:$A$47,0))*$C30/100,"")</f>
        <v>18.9</v>
      </c>
      <c r="F30" s="28" t="n">
        <f aca="false">IFERROR(INDEX(ALIMENTOS!$E$4:$E$47,MATCH($B30,ALIMENTOS!$A$4:$A$47,0))*$C30/100,"")</f>
        <v>1.05</v>
      </c>
      <c r="G30" s="28" t="n">
        <f aca="false">IFERROR(INDEX(ALIMENTOS!$F$4:$F$47,MATCH($B30,ALIMENTOS!$A$4:$A$47,0))*$C30/100,"")</f>
        <v>14.85</v>
      </c>
      <c r="H30" s="30"/>
    </row>
    <row r="31" customFormat="false" ht="15" hidden="false" customHeight="false" outlineLevel="0" collapsed="false">
      <c r="A31" s="13" t="s">
        <v>198</v>
      </c>
      <c r="B31" s="14" t="s">
        <v>384</v>
      </c>
      <c r="C31" s="31" t="n">
        <v>200</v>
      </c>
      <c r="D31" s="28" t="n">
        <f aca="false">IFERROR(INDEX(ALIMENTOS!$C$4:$C$47,MATCH($B31,ALIMENTOS!$A$4:$A$47,0))*$C31/100,"")</f>
        <v>104</v>
      </c>
      <c r="E31" s="28" t="n">
        <f aca="false">IFERROR(INDEX(ALIMENTOS!$D$4:$D$47,MATCH($B31,ALIMENTOS!$A$4:$A$47,0))*$C31/100,"")</f>
        <v>21.8</v>
      </c>
      <c r="F31" s="28" t="n">
        <f aca="false">IFERROR(INDEX(ALIMENTOS!$E$4:$E$47,MATCH($B31,ALIMENTOS!$A$4:$A$47,0))*$C31/100,"")</f>
        <v>1.4</v>
      </c>
      <c r="G31" s="28" t="n">
        <f aca="false">IFERROR(INDEX(ALIMENTOS!$F$4:$F$47,MATCH($B31,ALIMENTOS!$A$4:$A$47,0))*$C31/100,"")</f>
        <v>0.4</v>
      </c>
      <c r="H31" s="30"/>
    </row>
    <row r="32" customFormat="false" ht="15" hidden="false" customHeight="false" outlineLevel="0" collapsed="false">
      <c r="A32" s="13" t="s">
        <v>198</v>
      </c>
      <c r="B32" s="14" t="s">
        <v>402</v>
      </c>
      <c r="C32" s="31" t="n">
        <v>50</v>
      </c>
      <c r="D32" s="28" t="n">
        <f aca="false">IFERROR(INDEX(ALIMENTOS!$C$4:$C$47,MATCH($B32,ALIMENTOS!$A$4:$A$47,0))*$C32/100,"")</f>
        <v>194.5</v>
      </c>
      <c r="E32" s="28" t="n">
        <f aca="false">IFERROR(INDEX(ALIMENTOS!$D$4:$D$47,MATCH($B32,ALIMENTOS!$A$4:$A$47,0))*$C32/100,"")</f>
        <v>8.45</v>
      </c>
      <c r="F32" s="28" t="n">
        <f aca="false">IFERROR(INDEX(ALIMENTOS!$E$4:$E$47,MATCH($B32,ALIMENTOS!$A$4:$A$47,0))*$C32/100,"")</f>
        <v>33.15</v>
      </c>
      <c r="G32" s="28" t="n">
        <f aca="false">IFERROR(INDEX(ALIMENTOS!$F$4:$F$47,MATCH($B32,ALIMENTOS!$A$4:$A$47,0))*$C32/100,"")</f>
        <v>3.45</v>
      </c>
      <c r="H32" s="30"/>
    </row>
    <row r="33" customFormat="false" ht="15" hidden="false" customHeight="false" outlineLevel="0" collapsed="false">
      <c r="A33" s="13" t="s">
        <v>198</v>
      </c>
      <c r="B33" s="14" t="s">
        <v>428</v>
      </c>
      <c r="C33" s="31" t="n">
        <v>100</v>
      </c>
      <c r="D33" s="28" t="n">
        <f aca="false">IFERROR(INDEX(ALIMENTOS!$C$4:$C$47,MATCH($B33,ALIMENTOS!$A$4:$A$47,0))*$C33/100,"")</f>
        <v>89</v>
      </c>
      <c r="E33" s="28" t="n">
        <f aca="false">IFERROR(INDEX(ALIMENTOS!$D$4:$D$47,MATCH($B33,ALIMENTOS!$A$4:$A$47,0))*$C33/100,"")</f>
        <v>1.1</v>
      </c>
      <c r="F33" s="28" t="n">
        <f aca="false">IFERROR(INDEX(ALIMENTOS!$E$4:$E$47,MATCH($B33,ALIMENTOS!$A$4:$A$47,0))*$C33/100,"")</f>
        <v>22.8</v>
      </c>
      <c r="G33" s="28" t="n">
        <f aca="false">IFERROR(INDEX(ALIMENTOS!$F$4:$F$47,MATCH($B33,ALIMENTOS!$A$4:$A$47,0))*$C33/100,"")</f>
        <v>0.3</v>
      </c>
      <c r="H33" s="30"/>
    </row>
    <row r="34" customFormat="false" ht="15" hidden="false" customHeight="false" outlineLevel="0" collapsed="false">
      <c r="A34" s="13" t="s">
        <v>99</v>
      </c>
      <c r="B34" s="14" t="s">
        <v>363</v>
      </c>
      <c r="C34" s="31" t="n">
        <v>250</v>
      </c>
      <c r="D34" s="28" t="n">
        <f aca="false">IFERROR(INDEX(ALIMENTOS!$C$4:$C$47,MATCH($B34,ALIMENTOS!$A$4:$A$47,0))*$C34/100,"")</f>
        <v>300</v>
      </c>
      <c r="E34" s="28" t="n">
        <f aca="false">IFERROR(INDEX(ALIMENTOS!$D$4:$D$47,MATCH($B34,ALIMENTOS!$A$4:$A$47,0))*$C34/100,"")</f>
        <v>56.25</v>
      </c>
      <c r="F34" s="28" t="n">
        <f aca="false">IFERROR(INDEX(ALIMENTOS!$E$4:$E$47,MATCH($B34,ALIMENTOS!$A$4:$A$47,0))*$C34/100,"")</f>
        <v>0</v>
      </c>
      <c r="G34" s="28" t="n">
        <f aca="false">IFERROR(INDEX(ALIMENTOS!$F$4:$F$47,MATCH($B34,ALIMENTOS!$A$4:$A$47,0))*$C34/100,"")</f>
        <v>6.5</v>
      </c>
      <c r="H34" s="30"/>
    </row>
    <row r="35" customFormat="false" ht="15" hidden="false" customHeight="false" outlineLevel="0" collapsed="false">
      <c r="A35" s="13" t="s">
        <v>99</v>
      </c>
      <c r="B35" s="14" t="s">
        <v>396</v>
      </c>
      <c r="C35" s="31" t="n">
        <v>130</v>
      </c>
      <c r="D35" s="28" t="n">
        <f aca="false">IFERROR(INDEX(ALIMENTOS!$C$4:$C$47,MATCH($B35,ALIMENTOS!$A$4:$A$47,0))*$C35/100,"")</f>
        <v>468</v>
      </c>
      <c r="E35" s="28" t="n">
        <f aca="false">IFERROR(INDEX(ALIMENTOS!$D$4:$D$47,MATCH($B35,ALIMENTOS!$A$4:$A$47,0))*$C35/100,"")</f>
        <v>8.58</v>
      </c>
      <c r="F35" s="28" t="n">
        <f aca="false">IFERROR(INDEX(ALIMENTOS!$E$4:$E$47,MATCH($B35,ALIMENTOS!$A$4:$A$47,0))*$C35/100,"")</f>
        <v>103.09</v>
      </c>
      <c r="G35" s="28" t="n">
        <f aca="false">IFERROR(INDEX(ALIMENTOS!$F$4:$F$47,MATCH($B35,ALIMENTOS!$A$4:$A$47,0))*$C35/100,"")</f>
        <v>0.78</v>
      </c>
      <c r="H35" s="30"/>
    </row>
    <row r="36" customFormat="false" ht="15" hidden="false" customHeight="false" outlineLevel="0" collapsed="false">
      <c r="A36" s="13" t="s">
        <v>99</v>
      </c>
      <c r="B36" s="14" t="s">
        <v>415</v>
      </c>
      <c r="C36" s="31" t="n">
        <v>30</v>
      </c>
      <c r="D36" s="28" t="n">
        <f aca="false">IFERROR(INDEX(ALIMENTOS!$C$4:$C$47,MATCH($B36,ALIMENTOS!$A$4:$A$47,0))*$C36/100,"")</f>
        <v>48</v>
      </c>
      <c r="E36" s="28" t="n">
        <f aca="false">IFERROR(INDEX(ALIMENTOS!$D$4:$D$47,MATCH($B36,ALIMENTOS!$A$4:$A$47,0))*$C36/100,"")</f>
        <v>0.6</v>
      </c>
      <c r="F36" s="28" t="n">
        <f aca="false">IFERROR(INDEX(ALIMENTOS!$E$4:$E$47,MATCH($B36,ALIMENTOS!$A$4:$A$47,0))*$C36/100,"")</f>
        <v>2.55</v>
      </c>
      <c r="G36" s="28" t="n">
        <f aca="false">IFERROR(INDEX(ALIMENTOS!$F$4:$F$47,MATCH($B36,ALIMENTOS!$A$4:$A$47,0))*$C36/100,"")</f>
        <v>4.41</v>
      </c>
      <c r="H36" s="30"/>
    </row>
    <row r="37" customFormat="false" ht="15" hidden="false" customHeight="false" outlineLevel="0" collapsed="false">
      <c r="A37" s="13" t="s">
        <v>99</v>
      </c>
      <c r="B37" s="14" t="s">
        <v>437</v>
      </c>
      <c r="C37" s="31" t="n">
        <v>200</v>
      </c>
      <c r="D37" s="28" t="n">
        <f aca="false">IFERROR(INDEX(ALIMENTOS!$C$4:$C$47,MATCH($B37,ALIMENTOS!$A$4:$A$47,0))*$C37/100,"")</f>
        <v>34</v>
      </c>
      <c r="E37" s="28" t="n">
        <f aca="false">IFERROR(INDEX(ALIMENTOS!$D$4:$D$47,MATCH($B37,ALIMENTOS!$A$4:$A$47,0))*$C37/100,"")</f>
        <v>2.4</v>
      </c>
      <c r="F37" s="28" t="n">
        <f aca="false">IFERROR(INDEX(ALIMENTOS!$E$4:$E$47,MATCH($B37,ALIMENTOS!$A$4:$A$47,0))*$C37/100,"")</f>
        <v>6</v>
      </c>
      <c r="G37" s="28" t="n">
        <f aca="false">IFERROR(INDEX(ALIMENTOS!$F$4:$F$47,MATCH($B37,ALIMENTOS!$A$4:$A$47,0))*$C37/100,"")</f>
        <v>0.4</v>
      </c>
      <c r="H37" s="30"/>
    </row>
    <row r="38" customFormat="false" ht="15" hidden="false" customHeight="false" outlineLevel="0" collapsed="false">
      <c r="A38" s="13" t="s">
        <v>99</v>
      </c>
      <c r="B38" s="14" t="s">
        <v>418</v>
      </c>
      <c r="C38" s="31" t="n">
        <v>7</v>
      </c>
      <c r="D38" s="28" t="n">
        <f aca="false">IFERROR(INDEX(ALIMENTOS!$C$4:$C$47,MATCH($B38,ALIMENTOS!$A$4:$A$47,0))*$C38/100,"")</f>
        <v>61.88</v>
      </c>
      <c r="E38" s="28" t="n">
        <f aca="false">IFERROR(INDEX(ALIMENTOS!$D$4:$D$47,MATCH($B38,ALIMENTOS!$A$4:$A$47,0))*$C38/100,"")</f>
        <v>0</v>
      </c>
      <c r="F38" s="28" t="n">
        <f aca="false">IFERROR(INDEX(ALIMENTOS!$E$4:$E$47,MATCH($B38,ALIMENTOS!$A$4:$A$47,0))*$C38/100,"")</f>
        <v>0</v>
      </c>
      <c r="G38" s="28" t="n">
        <f aca="false">IFERROR(INDEX(ALIMENTOS!$F$4:$F$47,MATCH($B38,ALIMENTOS!$A$4:$A$47,0))*$C38/100,"")</f>
        <v>7</v>
      </c>
      <c r="H38" s="30"/>
    </row>
    <row r="39" customFormat="false" ht="15" hidden="false" customHeight="false" outlineLevel="0" collapsed="false">
      <c r="A39" s="13" t="s">
        <v>108</v>
      </c>
      <c r="B39" s="14" t="s">
        <v>338</v>
      </c>
      <c r="C39" s="31" t="n">
        <v>30</v>
      </c>
      <c r="D39" s="28" t="n">
        <f aca="false">IFERROR(INDEX(ALIMENTOS!$C$4:$C$47,MATCH($B39,ALIMENTOS!$A$4:$A$47,0))*$C39/100,"")</f>
        <v>120</v>
      </c>
      <c r="E39" s="28" t="n">
        <f aca="false">IFERROR(INDEX(ALIMENTOS!$D$4:$D$47,MATCH($B39,ALIMENTOS!$A$4:$A$47,0))*$C39/100,"")</f>
        <v>24</v>
      </c>
      <c r="F39" s="28" t="n">
        <f aca="false">IFERROR(INDEX(ALIMENTOS!$E$4:$E$47,MATCH($B39,ALIMENTOS!$A$4:$A$47,0))*$C39/100,"")</f>
        <v>3</v>
      </c>
      <c r="G39" s="28" t="n">
        <f aca="false">IFERROR(INDEX(ALIMENTOS!$F$4:$F$47,MATCH($B39,ALIMENTOS!$A$4:$A$47,0))*$C39/100,"")</f>
        <v>1.5</v>
      </c>
      <c r="H39" s="30"/>
    </row>
    <row r="40" customFormat="false" ht="15" hidden="false" customHeight="false" outlineLevel="0" collapsed="false">
      <c r="A40" s="13" t="s">
        <v>108</v>
      </c>
      <c r="B40" s="14" t="s">
        <v>429</v>
      </c>
      <c r="C40" s="31" t="n">
        <v>100</v>
      </c>
      <c r="D40" s="28" t="n">
        <f aca="false">IFERROR(INDEX(ALIMENTOS!$C$4:$C$47,MATCH($B40,ALIMENTOS!$A$4:$A$47,0))*$C40/100,"")</f>
        <v>53</v>
      </c>
      <c r="E40" s="28" t="n">
        <f aca="false">IFERROR(INDEX(ALIMENTOS!$D$4:$D$47,MATCH($B40,ALIMENTOS!$A$4:$A$47,0))*$C40/100,"")</f>
        <v>0.8</v>
      </c>
      <c r="F40" s="28" t="n">
        <f aca="false">IFERROR(INDEX(ALIMENTOS!$E$4:$E$47,MATCH($B40,ALIMENTOS!$A$4:$A$47,0))*$C40/100,"")</f>
        <v>13.3</v>
      </c>
      <c r="G40" s="28" t="n">
        <f aca="false">IFERROR(INDEX(ALIMENTOS!$F$4:$F$47,MATCH($B40,ALIMENTOS!$A$4:$A$47,0))*$C40/100,"")</f>
        <v>0.3</v>
      </c>
      <c r="H40" s="30"/>
    </row>
    <row r="41" customFormat="false" ht="15" hidden="false" customHeight="false" outlineLevel="0" collapsed="false">
      <c r="A41" s="13" t="s">
        <v>108</v>
      </c>
      <c r="B41" s="14" t="s">
        <v>424</v>
      </c>
      <c r="C41" s="31" t="n">
        <v>20</v>
      </c>
      <c r="D41" s="28" t="n">
        <f aca="false">IFERROR(INDEX(ALIMENTOS!$C$4:$C$47,MATCH($B41,ALIMENTOS!$A$4:$A$47,0))*$C41/100,"")</f>
        <v>112.4</v>
      </c>
      <c r="E41" s="28" t="n">
        <f aca="false">IFERROR(INDEX(ALIMENTOS!$D$4:$D$47,MATCH($B41,ALIMENTOS!$A$4:$A$47,0))*$C41/100,"")</f>
        <v>4.04</v>
      </c>
      <c r="F41" s="28" t="n">
        <f aca="false">IFERROR(INDEX(ALIMENTOS!$E$4:$E$47,MATCH($B41,ALIMENTOS!$A$4:$A$47,0))*$C41/100,"")</f>
        <v>5.44</v>
      </c>
      <c r="G41" s="28" t="n">
        <f aca="false">IFERROR(INDEX(ALIMENTOS!$F$4:$F$47,MATCH($B41,ALIMENTOS!$A$4:$A$47,0))*$C41/100,"")</f>
        <v>9.06</v>
      </c>
      <c r="H41" s="30"/>
    </row>
    <row r="42" customFormat="false" ht="15" hidden="false" customHeight="false" outlineLevel="0" collapsed="false">
      <c r="A42" s="13" t="s">
        <v>115</v>
      </c>
      <c r="B42" s="14" t="s">
        <v>372</v>
      </c>
      <c r="C42" s="31" t="n">
        <v>200</v>
      </c>
      <c r="D42" s="28" t="n">
        <f aca="false">IFERROR(INDEX(ALIMENTOS!$C$4:$C$47,MATCH($B42,ALIMENTOS!$A$4:$A$47,0))*$C42/100,"")</f>
        <v>352</v>
      </c>
      <c r="E42" s="28" t="n">
        <f aca="false">IFERROR(INDEX(ALIMENTOS!$D$4:$D$47,MATCH($B42,ALIMENTOS!$A$4:$A$47,0))*$C42/100,"")</f>
        <v>40</v>
      </c>
      <c r="F42" s="28" t="n">
        <f aca="false">IFERROR(INDEX(ALIMENTOS!$E$4:$E$47,MATCH($B42,ALIMENTOS!$A$4:$A$47,0))*$C42/100,"")</f>
        <v>0</v>
      </c>
      <c r="G42" s="28" t="n">
        <f aca="false">IFERROR(INDEX(ALIMENTOS!$F$4:$F$47,MATCH($B42,ALIMENTOS!$A$4:$A$47,0))*$C42/100,"")</f>
        <v>20</v>
      </c>
      <c r="H42" s="30" t="s">
        <v>469</v>
      </c>
    </row>
    <row r="43" customFormat="false" ht="15" hidden="false" customHeight="false" outlineLevel="0" collapsed="false">
      <c r="A43" s="13" t="s">
        <v>115</v>
      </c>
      <c r="B43" s="14" t="s">
        <v>408</v>
      </c>
      <c r="C43" s="31" t="n">
        <v>180</v>
      </c>
      <c r="D43" s="28" t="n">
        <f aca="false">IFERROR(INDEX(ALIMENTOS!$C$4:$C$47,MATCH($B43,ALIMENTOS!$A$4:$A$47,0))*$C43/100,"")</f>
        <v>154.8</v>
      </c>
      <c r="E43" s="28" t="n">
        <f aca="false">IFERROR(INDEX(ALIMENTOS!$D$4:$D$47,MATCH($B43,ALIMENTOS!$A$4:$A$47,0))*$C43/100,"")</f>
        <v>2.88</v>
      </c>
      <c r="F43" s="28" t="n">
        <f aca="false">IFERROR(INDEX(ALIMENTOS!$E$4:$E$47,MATCH($B43,ALIMENTOS!$A$4:$A$47,0))*$C43/100,"")</f>
        <v>36.18</v>
      </c>
      <c r="G43" s="28" t="n">
        <f aca="false">IFERROR(INDEX(ALIMENTOS!$F$4:$F$47,MATCH($B43,ALIMENTOS!$A$4:$A$47,0))*$C43/100,"")</f>
        <v>0.18</v>
      </c>
      <c r="H43" s="30"/>
    </row>
    <row r="44" customFormat="false" ht="15" hidden="false" customHeight="false" outlineLevel="0" collapsed="false">
      <c r="A44" s="13" t="s">
        <v>115</v>
      </c>
      <c r="B44" s="14" t="s">
        <v>439</v>
      </c>
      <c r="C44" s="31" t="n">
        <v>250</v>
      </c>
      <c r="D44" s="28" t="n">
        <f aca="false">IFERROR(INDEX(ALIMENTOS!$C$4:$C$47,MATCH($B44,ALIMENTOS!$A$4:$A$47,0))*$C44/100,"")</f>
        <v>112.5</v>
      </c>
      <c r="E44" s="28" t="n">
        <f aca="false">IFERROR(INDEX(ALIMENTOS!$D$4:$D$47,MATCH($B44,ALIMENTOS!$A$4:$A$47,0))*$C44/100,"")</f>
        <v>5</v>
      </c>
      <c r="F44" s="28" t="n">
        <f aca="false">IFERROR(INDEX(ALIMENTOS!$E$4:$E$47,MATCH($B44,ALIMENTOS!$A$4:$A$47,0))*$C44/100,"")</f>
        <v>20</v>
      </c>
      <c r="G44" s="28" t="n">
        <f aca="false">IFERROR(INDEX(ALIMENTOS!$F$4:$F$47,MATCH($B44,ALIMENTOS!$A$4:$A$47,0))*$C44/100,"")</f>
        <v>1.25</v>
      </c>
      <c r="H44" s="30"/>
    </row>
    <row r="45" customFormat="false" ht="15" hidden="false" customHeight="false" outlineLevel="0" collapsed="false">
      <c r="A45" s="13" t="s">
        <v>115</v>
      </c>
      <c r="B45" s="14" t="s">
        <v>418</v>
      </c>
      <c r="C45" s="31" t="n">
        <v>5</v>
      </c>
      <c r="D45" s="28" t="n">
        <f aca="false">IFERROR(INDEX(ALIMENTOS!$C$4:$C$47,MATCH($B45,ALIMENTOS!$A$4:$A$47,0))*$C45/100,"")</f>
        <v>44.2</v>
      </c>
      <c r="E45" s="28" t="n">
        <f aca="false">IFERROR(INDEX(ALIMENTOS!$D$4:$D$47,MATCH($B45,ALIMENTOS!$A$4:$A$47,0))*$C45/100,"")</f>
        <v>0</v>
      </c>
      <c r="F45" s="28" t="n">
        <f aca="false">IFERROR(INDEX(ALIMENTOS!$E$4:$E$47,MATCH($B45,ALIMENTOS!$A$4:$A$47,0))*$C45/100,"")</f>
        <v>0</v>
      </c>
      <c r="G45" s="28" t="n">
        <f aca="false">IFERROR(INDEX(ALIMENTOS!$F$4:$F$47,MATCH($B45,ALIMENTOS!$A$4:$A$47,0))*$C45/100,"")</f>
        <v>5</v>
      </c>
      <c r="H45" s="30"/>
    </row>
    <row r="46" customFormat="false" ht="15" hidden="false" customHeight="false" outlineLevel="0" collapsed="false">
      <c r="A46" s="32"/>
      <c r="B46" s="33" t="s">
        <v>464</v>
      </c>
      <c r="C46" s="32"/>
      <c r="D46" s="34" t="n">
        <f aca="false">SUM(D30:D45)</f>
        <v>2462.78</v>
      </c>
      <c r="E46" s="34" t="n">
        <f aca="false">SUM(E30:E45)</f>
        <v>194.8</v>
      </c>
      <c r="F46" s="34" t="n">
        <f aca="false">SUM(F30:F45)</f>
        <v>247.96</v>
      </c>
      <c r="G46" s="34" t="n">
        <f aca="false">SUM(G30:G45)</f>
        <v>75.38</v>
      </c>
      <c r="H46" s="32"/>
    </row>
    <row r="47" customFormat="false" ht="15" hidden="false" customHeight="false" outlineLevel="0" collapsed="false">
      <c r="B47" s="3" t="s">
        <v>465</v>
      </c>
      <c r="D47" s="35" t="n">
        <f aca="false">NUTRICION!$C$21</f>
        <v>2450</v>
      </c>
      <c r="E47" s="35" t="n">
        <f aca="false">NUTRICION!$C$23</f>
        <v>189</v>
      </c>
      <c r="F47" s="35" t="n">
        <f aca="false">NUTRICION!$C$26</f>
        <v>266</v>
      </c>
      <c r="G47" s="35" t="n">
        <f aca="false">NUTRICION!$C$24</f>
        <v>70</v>
      </c>
    </row>
    <row r="48" customFormat="false" ht="15" hidden="false" customHeight="false" outlineLevel="0" collapsed="false">
      <c r="B48" s="3" t="s">
        <v>466</v>
      </c>
      <c r="D48" s="36" t="n">
        <f aca="false">D46-D47</f>
        <v>12.7799999999997</v>
      </c>
      <c r="E48" s="36" t="n">
        <f aca="false">E46-E47</f>
        <v>5.80000000000001</v>
      </c>
      <c r="F48" s="36" t="n">
        <f aca="false">F46-F47</f>
        <v>-18.04</v>
      </c>
      <c r="G48" s="36" t="n">
        <f aca="false">G46-G47</f>
        <v>5.38</v>
      </c>
    </row>
    <row r="49" customFormat="false" ht="30" hidden="false" customHeight="true" outlineLevel="0" collapsed="false">
      <c r="A49" s="37" t="s">
        <v>470</v>
      </c>
      <c r="B49" s="37"/>
      <c r="C49" s="37"/>
      <c r="D49" s="37"/>
      <c r="E49" s="37"/>
      <c r="F49" s="37"/>
      <c r="G49" s="37"/>
      <c r="H49" s="37"/>
    </row>
    <row r="51" customFormat="false" ht="19.5" hidden="false" customHeight="true" outlineLevel="0" collapsed="false">
      <c r="A51" s="8" t="s">
        <v>471</v>
      </c>
      <c r="B51" s="2"/>
      <c r="C51" s="2"/>
      <c r="D51" s="2"/>
      <c r="E51" s="2"/>
      <c r="F51" s="2"/>
      <c r="G51" s="2"/>
      <c r="H51" s="2"/>
    </row>
    <row r="52" customFormat="false" ht="30" hidden="false" customHeight="true" outlineLevel="0" collapsed="false">
      <c r="A52" s="9" t="s">
        <v>449</v>
      </c>
      <c r="B52" s="9" t="s">
        <v>354</v>
      </c>
      <c r="C52" s="9" t="s">
        <v>450</v>
      </c>
      <c r="D52" s="9" t="s">
        <v>451</v>
      </c>
      <c r="E52" s="9" t="s">
        <v>452</v>
      </c>
      <c r="F52" s="9" t="s">
        <v>453</v>
      </c>
      <c r="G52" s="9" t="s">
        <v>454</v>
      </c>
      <c r="H52" s="9" t="s">
        <v>362</v>
      </c>
    </row>
    <row r="53" customFormat="false" ht="32.8" hidden="false" customHeight="false" outlineLevel="0" collapsed="false">
      <c r="A53" s="13" t="s">
        <v>472</v>
      </c>
      <c r="B53" s="14" t="s">
        <v>332</v>
      </c>
      <c r="C53" s="31" t="n">
        <v>0</v>
      </c>
      <c r="D53" s="28" t="n">
        <f aca="false">IFERROR(INDEX(ALIMENTOS!$C$4:$C$47,MATCH($B53,ALIMENTOS!$A$4:$A$47,0))*$C53/100,"")</f>
        <v>0</v>
      </c>
      <c r="E53" s="28" t="n">
        <f aca="false">IFERROR(INDEX(ALIMENTOS!$D$4:$D$47,MATCH($B53,ALIMENTOS!$A$4:$A$47,0))*$C53/100,"")</f>
        <v>0</v>
      </c>
      <c r="F53" s="28" t="n">
        <f aca="false">IFERROR(INDEX(ALIMENTOS!$E$4:$E$47,MATCH($B53,ALIMENTOS!$A$4:$A$47,0))*$C53/100,"")</f>
        <v>0</v>
      </c>
      <c r="G53" s="28" t="n">
        <f aca="false">IFERROR(INDEX(ALIMENTOS!$F$4:$F$47,MATCH($B53,ALIMENTOS!$A$4:$A$47,0))*$C53/100,"")</f>
        <v>0</v>
      </c>
      <c r="H53" s="30" t="s">
        <v>473</v>
      </c>
    </row>
    <row r="54" customFormat="false" ht="15" hidden="false" customHeight="false" outlineLevel="0" collapsed="false">
      <c r="A54" s="13" t="s">
        <v>474</v>
      </c>
      <c r="B54" s="14" t="s">
        <v>363</v>
      </c>
      <c r="C54" s="31" t="n">
        <v>250</v>
      </c>
      <c r="D54" s="28" t="n">
        <f aca="false">IFERROR(INDEX(ALIMENTOS!$C$4:$C$47,MATCH($B54,ALIMENTOS!$A$4:$A$47,0))*$C54/100,"")</f>
        <v>300</v>
      </c>
      <c r="E54" s="28" t="n">
        <f aca="false">IFERROR(INDEX(ALIMENTOS!$D$4:$D$47,MATCH($B54,ALIMENTOS!$A$4:$A$47,0))*$C54/100,"")</f>
        <v>56.25</v>
      </c>
      <c r="F54" s="28" t="n">
        <f aca="false">IFERROR(INDEX(ALIMENTOS!$E$4:$E$47,MATCH($B54,ALIMENTOS!$A$4:$A$47,0))*$C54/100,"")</f>
        <v>0</v>
      </c>
      <c r="G54" s="28" t="n">
        <f aca="false">IFERROR(INDEX(ALIMENTOS!$F$4:$F$47,MATCH($B54,ALIMENTOS!$A$4:$A$47,0))*$C54/100,"")</f>
        <v>6.5</v>
      </c>
      <c r="H54" s="30"/>
    </row>
    <row r="55" customFormat="false" ht="15" hidden="false" customHeight="false" outlineLevel="0" collapsed="false">
      <c r="A55" s="13" t="s">
        <v>474</v>
      </c>
      <c r="B55" s="14" t="s">
        <v>408</v>
      </c>
      <c r="C55" s="31" t="n">
        <v>250</v>
      </c>
      <c r="D55" s="28" t="n">
        <f aca="false">IFERROR(INDEX(ALIMENTOS!$C$4:$C$47,MATCH($B55,ALIMENTOS!$A$4:$A$47,0))*$C55/100,"")</f>
        <v>215</v>
      </c>
      <c r="E55" s="28" t="n">
        <f aca="false">IFERROR(INDEX(ALIMENTOS!$D$4:$D$47,MATCH($B55,ALIMENTOS!$A$4:$A$47,0))*$C55/100,"")</f>
        <v>4</v>
      </c>
      <c r="F55" s="28" t="n">
        <f aca="false">IFERROR(INDEX(ALIMENTOS!$E$4:$E$47,MATCH($B55,ALIMENTOS!$A$4:$A$47,0))*$C55/100,"")</f>
        <v>50.25</v>
      </c>
      <c r="G55" s="28" t="n">
        <f aca="false">IFERROR(INDEX(ALIMENTOS!$F$4:$F$47,MATCH($B55,ALIMENTOS!$A$4:$A$47,0))*$C55/100,"")</f>
        <v>0.25</v>
      </c>
      <c r="H55" s="30"/>
    </row>
    <row r="56" customFormat="false" ht="15" hidden="false" customHeight="false" outlineLevel="0" collapsed="false">
      <c r="A56" s="13" t="s">
        <v>474</v>
      </c>
      <c r="B56" s="14" t="s">
        <v>437</v>
      </c>
      <c r="C56" s="31" t="n">
        <v>200</v>
      </c>
      <c r="D56" s="28" t="n">
        <f aca="false">IFERROR(INDEX(ALIMENTOS!$C$4:$C$47,MATCH($B56,ALIMENTOS!$A$4:$A$47,0))*$C56/100,"")</f>
        <v>34</v>
      </c>
      <c r="E56" s="28" t="n">
        <f aca="false">IFERROR(INDEX(ALIMENTOS!$D$4:$D$47,MATCH($B56,ALIMENTOS!$A$4:$A$47,0))*$C56/100,"")</f>
        <v>2.4</v>
      </c>
      <c r="F56" s="28" t="n">
        <f aca="false">IFERROR(INDEX(ALIMENTOS!$E$4:$E$47,MATCH($B56,ALIMENTOS!$A$4:$A$47,0))*$C56/100,"")</f>
        <v>6</v>
      </c>
      <c r="G56" s="28" t="n">
        <f aca="false">IFERROR(INDEX(ALIMENTOS!$F$4:$F$47,MATCH($B56,ALIMENTOS!$A$4:$A$47,0))*$C56/100,"")</f>
        <v>0.4</v>
      </c>
      <c r="H56" s="30"/>
    </row>
    <row r="57" customFormat="false" ht="15" hidden="false" customHeight="false" outlineLevel="0" collapsed="false">
      <c r="A57" s="13" t="s">
        <v>474</v>
      </c>
      <c r="B57" s="14" t="s">
        <v>418</v>
      </c>
      <c r="C57" s="31" t="n">
        <v>10</v>
      </c>
      <c r="D57" s="28" t="n">
        <f aca="false">IFERROR(INDEX(ALIMENTOS!$C$4:$C$47,MATCH($B57,ALIMENTOS!$A$4:$A$47,0))*$C57/100,"")</f>
        <v>88.4</v>
      </c>
      <c r="E57" s="28" t="n">
        <f aca="false">IFERROR(INDEX(ALIMENTOS!$D$4:$D$47,MATCH($B57,ALIMENTOS!$A$4:$A$47,0))*$C57/100,"")</f>
        <v>0</v>
      </c>
      <c r="F57" s="28" t="n">
        <f aca="false">IFERROR(INDEX(ALIMENTOS!$E$4:$E$47,MATCH($B57,ALIMENTOS!$A$4:$A$47,0))*$C57/100,"")</f>
        <v>0</v>
      </c>
      <c r="G57" s="28" t="n">
        <f aca="false">IFERROR(INDEX(ALIMENTOS!$F$4:$F$47,MATCH($B57,ALIMENTOS!$A$4:$A$47,0))*$C57/100,"")</f>
        <v>10</v>
      </c>
      <c r="H57" s="30"/>
    </row>
    <row r="58" customFormat="false" ht="15" hidden="false" customHeight="false" outlineLevel="0" collapsed="false">
      <c r="A58" s="13" t="s">
        <v>474</v>
      </c>
      <c r="B58" s="14" t="s">
        <v>415</v>
      </c>
      <c r="C58" s="31" t="n">
        <v>50</v>
      </c>
      <c r="D58" s="28" t="n">
        <f aca="false">IFERROR(INDEX(ALIMENTOS!$C$4:$C$47,MATCH($B58,ALIMENTOS!$A$4:$A$47,0))*$C58/100,"")</f>
        <v>80</v>
      </c>
      <c r="E58" s="28" t="n">
        <f aca="false">IFERROR(INDEX(ALIMENTOS!$D$4:$D$47,MATCH($B58,ALIMENTOS!$A$4:$A$47,0))*$C58/100,"")</f>
        <v>1</v>
      </c>
      <c r="F58" s="28" t="n">
        <f aca="false">IFERROR(INDEX(ALIMENTOS!$E$4:$E$47,MATCH($B58,ALIMENTOS!$A$4:$A$47,0))*$C58/100,"")</f>
        <v>4.25</v>
      </c>
      <c r="G58" s="28" t="n">
        <f aca="false">IFERROR(INDEX(ALIMENTOS!$F$4:$F$47,MATCH($B58,ALIMENTOS!$A$4:$A$47,0))*$C58/100,"")</f>
        <v>7.35</v>
      </c>
      <c r="H58" s="30"/>
    </row>
    <row r="59" customFormat="false" ht="15" hidden="false" customHeight="false" outlineLevel="0" collapsed="false">
      <c r="A59" s="32"/>
      <c r="B59" s="33" t="s">
        <v>464</v>
      </c>
      <c r="C59" s="32"/>
      <c r="D59" s="34" t="n">
        <f aca="false">SUM(D53:D58)</f>
        <v>717.4</v>
      </c>
      <c r="E59" s="34" t="n">
        <f aca="false">SUM(E53:E58)</f>
        <v>63.65</v>
      </c>
      <c r="F59" s="34" t="n">
        <f aca="false">SUM(F53:F58)</f>
        <v>60.5</v>
      </c>
      <c r="G59" s="34" t="n">
        <f aca="false">SUM(G53:G58)</f>
        <v>24.5</v>
      </c>
      <c r="H59" s="32"/>
    </row>
    <row r="60" customFormat="false" ht="15" hidden="false" customHeight="false" outlineLevel="0" collapsed="false">
      <c r="B60" s="3" t="s">
        <v>465</v>
      </c>
      <c r="D60" s="35" t="n">
        <f aca="false">800</f>
        <v>800</v>
      </c>
      <c r="E60" s="35" t="n">
        <f aca="false">NUTRICION!$C$23*0.45</f>
        <v>85.05</v>
      </c>
      <c r="F60" s="35" t="n">
        <f aca="false">90</f>
        <v>90</v>
      </c>
      <c r="G60" s="35" t="n">
        <f aca="false">25</f>
        <v>25</v>
      </c>
    </row>
    <row r="61" customFormat="false" ht="15" hidden="false" customHeight="false" outlineLevel="0" collapsed="false">
      <c r="B61" s="3" t="s">
        <v>466</v>
      </c>
      <c r="D61" s="36" t="n">
        <f aca="false">D59-D60</f>
        <v>-82.6</v>
      </c>
      <c r="E61" s="36" t="n">
        <f aca="false">E59-E60</f>
        <v>-21.4</v>
      </c>
      <c r="F61" s="36" t="n">
        <f aca="false">F59-F60</f>
        <v>-29.5</v>
      </c>
      <c r="G61" s="36" t="n">
        <f aca="false">G59-G60</f>
        <v>-0.5</v>
      </c>
    </row>
    <row r="62" customFormat="false" ht="30" hidden="false" customHeight="true" outlineLevel="0" collapsed="false">
      <c r="A62" s="37" t="s">
        <v>475</v>
      </c>
      <c r="B62" s="37"/>
      <c r="C62" s="37"/>
      <c r="D62" s="37"/>
      <c r="E62" s="37"/>
      <c r="F62" s="37"/>
      <c r="G62" s="37"/>
      <c r="H62" s="37"/>
    </row>
  </sheetData>
  <mergeCells count="3">
    <mergeCell ref="A26:H26"/>
    <mergeCell ref="A49:H49"/>
    <mergeCell ref="A62:H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9"/>
    <col collapsed="false" customWidth="true" hidden="false" outlineLevel="0" max="4" min="4" style="0" width="14"/>
    <col collapsed="false" customWidth="true" hidden="false" outlineLevel="0" max="5" min="5" style="0" width="8"/>
    <col collapsed="false" customWidth="true" hidden="false" outlineLevel="0" max="6" min="6" style="0" width="12"/>
    <col collapsed="false" customWidth="true" hidden="false" outlineLevel="0" max="7" min="7" style="0" width="14"/>
    <col collapsed="false" customWidth="true" hidden="false" outlineLevel="0" max="8" min="8" style="0" width="46"/>
  </cols>
  <sheetData>
    <row r="1" customFormat="false" ht="24" hidden="false" customHeight="true" outlineLevel="0" collapsed="false">
      <c r="A1" s="1" t="s">
        <v>476</v>
      </c>
      <c r="B1" s="2"/>
      <c r="C1" s="2"/>
      <c r="D1" s="2"/>
      <c r="E1" s="2"/>
      <c r="F1" s="2"/>
      <c r="G1" s="2"/>
      <c r="H1" s="2"/>
    </row>
    <row r="2" customFormat="false" ht="15" hidden="false" customHeight="false" outlineLevel="0" collapsed="false">
      <c r="A2" s="7" t="s">
        <v>477</v>
      </c>
    </row>
    <row r="4" customFormat="false" ht="15" hidden="false" customHeight="false" outlineLevel="0" collapsed="false">
      <c r="A4" s="8" t="s">
        <v>478</v>
      </c>
      <c r="B4" s="38" t="s">
        <v>479</v>
      </c>
      <c r="C4" s="2"/>
      <c r="D4" s="2"/>
      <c r="E4" s="2"/>
      <c r="F4" s="2"/>
      <c r="G4" s="2"/>
      <c r="H4" s="2"/>
    </row>
    <row r="5" customFormat="false" ht="30" hidden="false" customHeight="true" outlineLevel="0" collapsed="false">
      <c r="A5" s="9" t="s">
        <v>480</v>
      </c>
      <c r="B5" s="9" t="s">
        <v>481</v>
      </c>
      <c r="C5" s="9" t="s">
        <v>482</v>
      </c>
      <c r="D5" s="9" t="s">
        <v>483</v>
      </c>
      <c r="E5" s="9" t="s">
        <v>484</v>
      </c>
      <c r="F5" s="9" t="s">
        <v>485</v>
      </c>
      <c r="G5" s="9" t="s">
        <v>486</v>
      </c>
      <c r="H5" s="9" t="s">
        <v>487</v>
      </c>
    </row>
    <row r="6" customFormat="false" ht="24" hidden="false" customHeight="true" outlineLevel="0" collapsed="false">
      <c r="A6" s="27" t="n">
        <v>1</v>
      </c>
      <c r="B6" s="13" t="s">
        <v>488</v>
      </c>
      <c r="C6" s="27"/>
      <c r="D6" s="27" t="s">
        <v>489</v>
      </c>
      <c r="E6" s="27"/>
      <c r="F6" s="27"/>
      <c r="G6" s="17"/>
      <c r="H6" s="30" t="s">
        <v>490</v>
      </c>
    </row>
    <row r="7" customFormat="false" ht="36" hidden="false" customHeight="true" outlineLevel="0" collapsed="false">
      <c r="A7" s="27" t="n">
        <v>2</v>
      </c>
      <c r="B7" s="14" t="s">
        <v>491</v>
      </c>
      <c r="C7" s="27" t="s">
        <v>492</v>
      </c>
      <c r="D7" s="27" t="s">
        <v>493</v>
      </c>
      <c r="E7" s="27" t="s">
        <v>494</v>
      </c>
      <c r="F7" s="27" t="s">
        <v>495</v>
      </c>
      <c r="G7" s="17"/>
      <c r="H7" s="30" t="s">
        <v>496</v>
      </c>
    </row>
    <row r="8" customFormat="false" ht="15" hidden="false" customHeight="true" outlineLevel="0" collapsed="false">
      <c r="A8" s="27" t="n">
        <v>3</v>
      </c>
      <c r="B8" s="14" t="s">
        <v>497</v>
      </c>
      <c r="C8" s="27" t="s">
        <v>498</v>
      </c>
      <c r="D8" s="27" t="s">
        <v>499</v>
      </c>
      <c r="E8" s="27" t="s">
        <v>494</v>
      </c>
      <c r="F8" s="27" t="s">
        <v>500</v>
      </c>
      <c r="G8" s="17"/>
      <c r="H8" s="30" t="s">
        <v>501</v>
      </c>
    </row>
    <row r="9" customFormat="false" ht="24" hidden="false" customHeight="true" outlineLevel="0" collapsed="false">
      <c r="A9" s="27" t="n">
        <v>4</v>
      </c>
      <c r="B9" s="14" t="s">
        <v>502</v>
      </c>
      <c r="C9" s="27" t="s">
        <v>498</v>
      </c>
      <c r="D9" s="27" t="s">
        <v>499</v>
      </c>
      <c r="E9" s="27" t="s">
        <v>494</v>
      </c>
      <c r="F9" s="27" t="s">
        <v>500</v>
      </c>
      <c r="G9" s="17"/>
      <c r="H9" s="30" t="s">
        <v>503</v>
      </c>
    </row>
    <row r="10" customFormat="false" ht="24" hidden="false" customHeight="true" outlineLevel="0" collapsed="false">
      <c r="A10" s="27" t="n">
        <v>5</v>
      </c>
      <c r="B10" s="14" t="s">
        <v>504</v>
      </c>
      <c r="C10" s="27" t="s">
        <v>498</v>
      </c>
      <c r="D10" s="27" t="s">
        <v>505</v>
      </c>
      <c r="E10" s="27" t="s">
        <v>506</v>
      </c>
      <c r="F10" s="27" t="s">
        <v>507</v>
      </c>
      <c r="G10" s="17"/>
      <c r="H10" s="30" t="s">
        <v>508</v>
      </c>
    </row>
    <row r="11" customFormat="false" ht="15" hidden="false" customHeight="true" outlineLevel="0" collapsed="false">
      <c r="A11" s="27" t="n">
        <v>6</v>
      </c>
      <c r="B11" s="14" t="s">
        <v>509</v>
      </c>
      <c r="C11" s="27" t="s">
        <v>498</v>
      </c>
      <c r="D11" s="27" t="s">
        <v>510</v>
      </c>
      <c r="E11" s="27" t="s">
        <v>494</v>
      </c>
      <c r="F11" s="27" t="s">
        <v>511</v>
      </c>
      <c r="G11" s="17"/>
      <c r="H11" s="30" t="s">
        <v>512</v>
      </c>
    </row>
    <row r="12" customFormat="false" ht="24" hidden="false" customHeight="true" outlineLevel="0" collapsed="false">
      <c r="A12" s="27" t="n">
        <v>7</v>
      </c>
      <c r="B12" s="14" t="s">
        <v>513</v>
      </c>
      <c r="C12" s="27" t="s">
        <v>498</v>
      </c>
      <c r="D12" s="27" t="s">
        <v>505</v>
      </c>
      <c r="E12" s="27" t="s">
        <v>506</v>
      </c>
      <c r="F12" s="27" t="s">
        <v>507</v>
      </c>
      <c r="G12" s="17"/>
      <c r="H12" s="30" t="s">
        <v>514</v>
      </c>
    </row>
    <row r="13" customFormat="false" ht="15" hidden="false" customHeight="true" outlineLevel="0" collapsed="false">
      <c r="A13" s="27" t="n">
        <v>8</v>
      </c>
      <c r="B13" s="14" t="s">
        <v>515</v>
      </c>
      <c r="C13" s="27" t="s">
        <v>498</v>
      </c>
      <c r="D13" s="27" t="s">
        <v>516</v>
      </c>
      <c r="E13" s="27" t="s">
        <v>506</v>
      </c>
      <c r="F13" s="27" t="s">
        <v>517</v>
      </c>
      <c r="G13" s="17"/>
      <c r="H13" s="30" t="s">
        <v>518</v>
      </c>
    </row>
    <row r="14" customFormat="false" ht="15" hidden="false" customHeight="true" outlineLevel="0" collapsed="false">
      <c r="A14" s="27" t="n">
        <v>9</v>
      </c>
      <c r="B14" s="14" t="s">
        <v>519</v>
      </c>
      <c r="C14" s="27" t="s">
        <v>498</v>
      </c>
      <c r="D14" s="27" t="s">
        <v>520</v>
      </c>
      <c r="E14" s="27" t="s">
        <v>494</v>
      </c>
      <c r="F14" s="27" t="s">
        <v>507</v>
      </c>
      <c r="G14" s="17"/>
      <c r="H14" s="30" t="s">
        <v>521</v>
      </c>
    </row>
    <row r="15" customFormat="false" ht="15" hidden="false" customHeight="true" outlineLevel="0" collapsed="false">
      <c r="A15" s="27" t="n">
        <v>10</v>
      </c>
      <c r="B15" s="14" t="s">
        <v>522</v>
      </c>
      <c r="C15" s="27" t="s">
        <v>498</v>
      </c>
      <c r="D15" s="27" t="s">
        <v>523</v>
      </c>
      <c r="E15" s="27" t="s">
        <v>494</v>
      </c>
      <c r="F15" s="27" t="s">
        <v>517</v>
      </c>
      <c r="G15" s="17"/>
      <c r="H15" s="30"/>
    </row>
    <row r="16" customFormat="false" ht="24" hidden="false" customHeight="true" outlineLevel="0" collapsed="false">
      <c r="A16" s="27" t="n">
        <v>11</v>
      </c>
      <c r="B16" s="14" t="s">
        <v>524</v>
      </c>
      <c r="C16" s="27" t="s">
        <v>498</v>
      </c>
      <c r="D16" s="27" t="s">
        <v>525</v>
      </c>
      <c r="E16" s="27" t="s">
        <v>494</v>
      </c>
      <c r="F16" s="27" t="s">
        <v>517</v>
      </c>
      <c r="G16" s="17"/>
      <c r="H16" s="30" t="s">
        <v>526</v>
      </c>
    </row>
    <row r="17" customFormat="false" ht="24" hidden="false" customHeight="true" outlineLevel="0" collapsed="false">
      <c r="A17" s="27" t="n">
        <v>12</v>
      </c>
      <c r="B17" s="13" t="s">
        <v>527</v>
      </c>
      <c r="C17" s="27"/>
      <c r="D17" s="27" t="s">
        <v>528</v>
      </c>
      <c r="E17" s="27"/>
      <c r="F17" s="27"/>
      <c r="G17" s="17"/>
      <c r="H17" s="30" t="s">
        <v>529</v>
      </c>
    </row>
    <row r="19" customFormat="false" ht="15" hidden="false" customHeight="false" outlineLevel="0" collapsed="false">
      <c r="A19" s="8" t="s">
        <v>530</v>
      </c>
      <c r="B19" s="38" t="s">
        <v>531</v>
      </c>
      <c r="C19" s="2"/>
      <c r="D19" s="2"/>
      <c r="E19" s="2"/>
      <c r="F19" s="2"/>
      <c r="G19" s="2"/>
      <c r="H19" s="2"/>
    </row>
    <row r="20" customFormat="false" ht="30" hidden="false" customHeight="true" outlineLevel="0" collapsed="false">
      <c r="A20" s="9" t="s">
        <v>480</v>
      </c>
      <c r="B20" s="9" t="s">
        <v>481</v>
      </c>
      <c r="C20" s="9" t="s">
        <v>482</v>
      </c>
      <c r="D20" s="9" t="s">
        <v>483</v>
      </c>
      <c r="E20" s="9" t="s">
        <v>484</v>
      </c>
      <c r="F20" s="9" t="s">
        <v>485</v>
      </c>
      <c r="G20" s="9" t="s">
        <v>486</v>
      </c>
      <c r="H20" s="9" t="s">
        <v>487</v>
      </c>
    </row>
    <row r="21" customFormat="false" ht="24" hidden="false" customHeight="true" outlineLevel="0" collapsed="false">
      <c r="A21" s="27" t="n">
        <v>1</v>
      </c>
      <c r="B21" s="13" t="s">
        <v>532</v>
      </c>
      <c r="C21" s="27"/>
      <c r="D21" s="27" t="s">
        <v>489</v>
      </c>
      <c r="E21" s="27"/>
      <c r="F21" s="27"/>
      <c r="G21" s="17"/>
      <c r="H21" s="30" t="s">
        <v>533</v>
      </c>
    </row>
    <row r="22" customFormat="false" ht="24" hidden="false" customHeight="true" outlineLevel="0" collapsed="false">
      <c r="A22" s="27" t="n">
        <v>2</v>
      </c>
      <c r="B22" s="14" t="s">
        <v>534</v>
      </c>
      <c r="C22" s="27" t="s">
        <v>492</v>
      </c>
      <c r="D22" s="27" t="s">
        <v>535</v>
      </c>
      <c r="E22" s="27" t="s">
        <v>494</v>
      </c>
      <c r="F22" s="27" t="s">
        <v>495</v>
      </c>
      <c r="G22" s="17"/>
      <c r="H22" s="30" t="s">
        <v>536</v>
      </c>
    </row>
    <row r="23" customFormat="false" ht="48" hidden="false" customHeight="true" outlineLevel="0" collapsed="false">
      <c r="A23" s="27" t="n">
        <v>3</v>
      </c>
      <c r="B23" s="14" t="s">
        <v>537</v>
      </c>
      <c r="C23" s="27" t="s">
        <v>492</v>
      </c>
      <c r="D23" s="27" t="s">
        <v>538</v>
      </c>
      <c r="E23" s="27" t="s">
        <v>494</v>
      </c>
      <c r="F23" s="27" t="s">
        <v>539</v>
      </c>
      <c r="G23" s="17"/>
      <c r="H23" s="30" t="s">
        <v>540</v>
      </c>
    </row>
    <row r="24" customFormat="false" ht="15" hidden="false" customHeight="true" outlineLevel="0" collapsed="false">
      <c r="A24" s="27" t="n">
        <v>4</v>
      </c>
      <c r="B24" s="14" t="s">
        <v>541</v>
      </c>
      <c r="C24" s="27" t="s">
        <v>498</v>
      </c>
      <c r="D24" s="27" t="s">
        <v>510</v>
      </c>
      <c r="E24" s="27" t="s">
        <v>494</v>
      </c>
      <c r="F24" s="27" t="s">
        <v>511</v>
      </c>
      <c r="G24" s="17"/>
      <c r="H24" s="30"/>
    </row>
    <row r="25" customFormat="false" ht="15" hidden="false" customHeight="true" outlineLevel="0" collapsed="false">
      <c r="A25" s="27" t="n">
        <v>5</v>
      </c>
      <c r="B25" s="14" t="s">
        <v>542</v>
      </c>
      <c r="C25" s="27" t="s">
        <v>498</v>
      </c>
      <c r="D25" s="27" t="s">
        <v>510</v>
      </c>
      <c r="E25" s="27" t="s">
        <v>494</v>
      </c>
      <c r="F25" s="27" t="s">
        <v>511</v>
      </c>
      <c r="G25" s="17"/>
      <c r="H25" s="30" t="s">
        <v>543</v>
      </c>
    </row>
    <row r="26" customFormat="false" ht="24" hidden="false" customHeight="true" outlineLevel="0" collapsed="false">
      <c r="A26" s="27" t="n">
        <v>6</v>
      </c>
      <c r="B26" s="14" t="s">
        <v>544</v>
      </c>
      <c r="C26" s="27" t="s">
        <v>498</v>
      </c>
      <c r="D26" s="27" t="s">
        <v>516</v>
      </c>
      <c r="E26" s="27" t="s">
        <v>506</v>
      </c>
      <c r="F26" s="27" t="s">
        <v>507</v>
      </c>
      <c r="G26" s="17"/>
      <c r="H26" s="30" t="s">
        <v>545</v>
      </c>
    </row>
    <row r="27" customFormat="false" ht="15" hidden="false" customHeight="true" outlineLevel="0" collapsed="false">
      <c r="A27" s="27" t="n">
        <v>7</v>
      </c>
      <c r="B27" s="14" t="s">
        <v>546</v>
      </c>
      <c r="C27" s="27" t="s">
        <v>498</v>
      </c>
      <c r="D27" s="27" t="s">
        <v>516</v>
      </c>
      <c r="E27" s="27" t="s">
        <v>506</v>
      </c>
      <c r="F27" s="27" t="s">
        <v>507</v>
      </c>
      <c r="G27" s="17"/>
      <c r="H27" s="30" t="s">
        <v>547</v>
      </c>
    </row>
    <row r="28" customFormat="false" ht="15" hidden="false" customHeight="true" outlineLevel="0" collapsed="false">
      <c r="A28" s="27" t="n">
        <v>8</v>
      </c>
      <c r="B28" s="14" t="s">
        <v>548</v>
      </c>
      <c r="C28" s="27" t="s">
        <v>498</v>
      </c>
      <c r="D28" s="27" t="s">
        <v>499</v>
      </c>
      <c r="E28" s="27" t="s">
        <v>494</v>
      </c>
      <c r="F28" s="27" t="s">
        <v>511</v>
      </c>
      <c r="G28" s="17"/>
      <c r="H28" s="30"/>
    </row>
    <row r="29" customFormat="false" ht="15" hidden="false" customHeight="true" outlineLevel="0" collapsed="false">
      <c r="A29" s="27" t="n">
        <v>9</v>
      </c>
      <c r="B29" s="14" t="s">
        <v>549</v>
      </c>
      <c r="C29" s="27" t="s">
        <v>498</v>
      </c>
      <c r="D29" s="27" t="s">
        <v>510</v>
      </c>
      <c r="E29" s="27" t="s">
        <v>494</v>
      </c>
      <c r="F29" s="27" t="s">
        <v>507</v>
      </c>
      <c r="G29" s="17"/>
      <c r="H29" s="30" t="s">
        <v>550</v>
      </c>
    </row>
    <row r="30" customFormat="false" ht="24" hidden="false" customHeight="true" outlineLevel="0" collapsed="false">
      <c r="A30" s="27" t="n">
        <v>10</v>
      </c>
      <c r="B30" s="14" t="s">
        <v>551</v>
      </c>
      <c r="C30" s="27" t="s">
        <v>498</v>
      </c>
      <c r="D30" s="27" t="s">
        <v>552</v>
      </c>
      <c r="E30" s="27" t="s">
        <v>494</v>
      </c>
      <c r="F30" s="27" t="s">
        <v>517</v>
      </c>
      <c r="G30" s="17"/>
      <c r="H30" s="30" t="s">
        <v>553</v>
      </c>
    </row>
    <row r="31" customFormat="false" ht="24" hidden="false" customHeight="true" outlineLevel="0" collapsed="false">
      <c r="A31" s="27" t="n">
        <v>11</v>
      </c>
      <c r="B31" s="14" t="s">
        <v>554</v>
      </c>
      <c r="C31" s="27" t="s">
        <v>498</v>
      </c>
      <c r="D31" s="27" t="s">
        <v>555</v>
      </c>
      <c r="E31" s="27" t="s">
        <v>494</v>
      </c>
      <c r="F31" s="27" t="s">
        <v>517</v>
      </c>
      <c r="G31" s="17"/>
      <c r="H31" s="30" t="s">
        <v>556</v>
      </c>
    </row>
    <row r="32" customFormat="false" ht="15" hidden="false" customHeight="true" outlineLevel="0" collapsed="false">
      <c r="A32" s="27" t="n">
        <v>12</v>
      </c>
      <c r="B32" s="13" t="s">
        <v>557</v>
      </c>
      <c r="C32" s="27"/>
      <c r="D32" s="27" t="s">
        <v>528</v>
      </c>
      <c r="E32" s="27"/>
      <c r="F32" s="27"/>
      <c r="G32" s="17"/>
      <c r="H32" s="30"/>
    </row>
    <row r="34" customFormat="false" ht="15" hidden="false" customHeight="false" outlineLevel="0" collapsed="false">
      <c r="A34" s="8" t="s">
        <v>558</v>
      </c>
      <c r="B34" s="38" t="s">
        <v>559</v>
      </c>
      <c r="C34" s="2"/>
      <c r="D34" s="2"/>
      <c r="E34" s="2"/>
      <c r="F34" s="2"/>
      <c r="G34" s="2"/>
      <c r="H34" s="2"/>
    </row>
    <row r="35" customFormat="false" ht="30" hidden="false" customHeight="true" outlineLevel="0" collapsed="false">
      <c r="A35" s="9" t="s">
        <v>480</v>
      </c>
      <c r="B35" s="9" t="s">
        <v>481</v>
      </c>
      <c r="C35" s="9" t="s">
        <v>482</v>
      </c>
      <c r="D35" s="9" t="s">
        <v>483</v>
      </c>
      <c r="E35" s="9" t="s">
        <v>484</v>
      </c>
      <c r="F35" s="9" t="s">
        <v>485</v>
      </c>
      <c r="G35" s="9" t="s">
        <v>486</v>
      </c>
      <c r="H35" s="9" t="s">
        <v>487</v>
      </c>
    </row>
    <row r="36" customFormat="false" ht="15" hidden="false" customHeight="true" outlineLevel="0" collapsed="false">
      <c r="A36" s="27" t="n">
        <v>1</v>
      </c>
      <c r="B36" s="13" t="s">
        <v>560</v>
      </c>
      <c r="C36" s="27"/>
      <c r="D36" s="27"/>
      <c r="E36" s="27"/>
      <c r="F36" s="27"/>
      <c r="G36" s="17"/>
      <c r="H36" s="30"/>
    </row>
    <row r="37" customFormat="false" ht="15" hidden="false" customHeight="true" outlineLevel="0" collapsed="false">
      <c r="A37" s="27" t="n">
        <v>2</v>
      </c>
      <c r="B37" s="14" t="s">
        <v>561</v>
      </c>
      <c r="C37" s="27" t="s">
        <v>492</v>
      </c>
      <c r="D37" s="27" t="s">
        <v>499</v>
      </c>
      <c r="E37" s="27" t="s">
        <v>494</v>
      </c>
      <c r="F37" s="27" t="s">
        <v>562</v>
      </c>
      <c r="G37" s="17"/>
      <c r="H37" s="30" t="s">
        <v>563</v>
      </c>
    </row>
    <row r="38" customFormat="false" ht="15" hidden="false" customHeight="true" outlineLevel="0" collapsed="false">
      <c r="A38" s="27" t="n">
        <v>3</v>
      </c>
      <c r="B38" s="14" t="s">
        <v>564</v>
      </c>
      <c r="C38" s="27" t="s">
        <v>492</v>
      </c>
      <c r="D38" s="27" t="s">
        <v>565</v>
      </c>
      <c r="E38" s="27" t="s">
        <v>494</v>
      </c>
      <c r="F38" s="27" t="s">
        <v>511</v>
      </c>
      <c r="G38" s="17"/>
      <c r="H38" s="30" t="s">
        <v>566</v>
      </c>
    </row>
    <row r="39" customFormat="false" ht="15" hidden="false" customHeight="true" outlineLevel="0" collapsed="false">
      <c r="A39" s="27" t="n">
        <v>4</v>
      </c>
      <c r="B39" s="14" t="s">
        <v>567</v>
      </c>
      <c r="C39" s="27" t="s">
        <v>498</v>
      </c>
      <c r="D39" s="27" t="s">
        <v>568</v>
      </c>
      <c r="E39" s="27" t="s">
        <v>494</v>
      </c>
      <c r="F39" s="27" t="s">
        <v>562</v>
      </c>
      <c r="G39" s="17"/>
      <c r="H39" s="30" t="s">
        <v>569</v>
      </c>
    </row>
    <row r="40" customFormat="false" ht="15" hidden="false" customHeight="true" outlineLevel="0" collapsed="false">
      <c r="A40" s="27" t="n">
        <v>5</v>
      </c>
      <c r="B40" s="14" t="s">
        <v>570</v>
      </c>
      <c r="C40" s="27" t="s">
        <v>498</v>
      </c>
      <c r="D40" s="27" t="s">
        <v>510</v>
      </c>
      <c r="E40" s="27" t="s">
        <v>494</v>
      </c>
      <c r="F40" s="27" t="s">
        <v>511</v>
      </c>
      <c r="G40" s="17"/>
      <c r="H40" s="30"/>
    </row>
    <row r="41" customFormat="false" ht="15" hidden="false" customHeight="true" outlineLevel="0" collapsed="false">
      <c r="A41" s="27" t="n">
        <v>6</v>
      </c>
      <c r="B41" s="14" t="s">
        <v>571</v>
      </c>
      <c r="C41" s="27" t="s">
        <v>498</v>
      </c>
      <c r="D41" s="27" t="s">
        <v>516</v>
      </c>
      <c r="E41" s="27" t="s">
        <v>506</v>
      </c>
      <c r="F41" s="27" t="s">
        <v>562</v>
      </c>
      <c r="G41" s="17"/>
      <c r="H41" s="30" t="s">
        <v>572</v>
      </c>
    </row>
    <row r="42" customFormat="false" ht="15" hidden="false" customHeight="true" outlineLevel="0" collapsed="false">
      <c r="A42" s="27" t="n">
        <v>7</v>
      </c>
      <c r="B42" s="14" t="s">
        <v>573</v>
      </c>
      <c r="C42" s="27" t="s">
        <v>498</v>
      </c>
      <c r="D42" s="27" t="s">
        <v>574</v>
      </c>
      <c r="E42" s="27" t="s">
        <v>506</v>
      </c>
      <c r="F42" s="27" t="s">
        <v>507</v>
      </c>
      <c r="G42" s="17"/>
      <c r="H42" s="30" t="s">
        <v>575</v>
      </c>
    </row>
    <row r="43" customFormat="false" ht="15" hidden="false" customHeight="true" outlineLevel="0" collapsed="false">
      <c r="A43" s="27" t="n">
        <v>8</v>
      </c>
      <c r="B43" s="14" t="s">
        <v>576</v>
      </c>
      <c r="C43" s="27" t="s">
        <v>498</v>
      </c>
      <c r="D43" s="27" t="s">
        <v>505</v>
      </c>
      <c r="E43" s="27" t="s">
        <v>494</v>
      </c>
      <c r="F43" s="27" t="s">
        <v>507</v>
      </c>
      <c r="G43" s="17"/>
      <c r="H43" s="30"/>
    </row>
    <row r="44" customFormat="false" ht="15" hidden="false" customHeight="true" outlineLevel="0" collapsed="false">
      <c r="A44" s="27" t="n">
        <v>9</v>
      </c>
      <c r="B44" s="14" t="s">
        <v>577</v>
      </c>
      <c r="C44" s="27" t="s">
        <v>498</v>
      </c>
      <c r="D44" s="27" t="s">
        <v>505</v>
      </c>
      <c r="E44" s="27" t="s">
        <v>494</v>
      </c>
      <c r="F44" s="27" t="s">
        <v>507</v>
      </c>
      <c r="G44" s="17"/>
      <c r="H44" s="30"/>
    </row>
    <row r="45" customFormat="false" ht="15" hidden="false" customHeight="true" outlineLevel="0" collapsed="false">
      <c r="A45" s="27" t="n">
        <v>10</v>
      </c>
      <c r="B45" s="14" t="s">
        <v>578</v>
      </c>
      <c r="C45" s="27" t="s">
        <v>498</v>
      </c>
      <c r="D45" s="27" t="s">
        <v>525</v>
      </c>
      <c r="E45" s="27" t="s">
        <v>579</v>
      </c>
      <c r="F45" s="27" t="s">
        <v>580</v>
      </c>
      <c r="G45" s="17"/>
      <c r="H45" s="30" t="s">
        <v>581</v>
      </c>
    </row>
    <row r="46" customFormat="false" ht="15" hidden="false" customHeight="true" outlineLevel="0" collapsed="false">
      <c r="A46" s="27" t="n">
        <v>11</v>
      </c>
      <c r="B46" s="14" t="s">
        <v>582</v>
      </c>
      <c r="C46" s="27" t="s">
        <v>498</v>
      </c>
      <c r="D46" s="27" t="s">
        <v>555</v>
      </c>
      <c r="E46" s="27" t="s">
        <v>494</v>
      </c>
      <c r="F46" s="27" t="s">
        <v>583</v>
      </c>
      <c r="G46" s="17"/>
      <c r="H46" s="30"/>
    </row>
    <row r="48" customFormat="false" ht="15" hidden="false" customHeight="false" outlineLevel="0" collapsed="false">
      <c r="A48" s="8" t="s">
        <v>584</v>
      </c>
      <c r="B48" s="38" t="s">
        <v>585</v>
      </c>
      <c r="C48" s="2"/>
      <c r="D48" s="2"/>
      <c r="E48" s="2"/>
      <c r="F48" s="2"/>
      <c r="G48" s="2"/>
      <c r="H48" s="2"/>
    </row>
    <row r="49" customFormat="false" ht="30" hidden="false" customHeight="true" outlineLevel="0" collapsed="false">
      <c r="A49" s="9" t="s">
        <v>480</v>
      </c>
      <c r="B49" s="9" t="s">
        <v>481</v>
      </c>
      <c r="C49" s="9" t="s">
        <v>482</v>
      </c>
      <c r="D49" s="9" t="s">
        <v>483</v>
      </c>
      <c r="E49" s="9" t="s">
        <v>484</v>
      </c>
      <c r="F49" s="9" t="s">
        <v>485</v>
      </c>
      <c r="G49" s="9" t="s">
        <v>486</v>
      </c>
      <c r="H49" s="9" t="s">
        <v>487</v>
      </c>
    </row>
    <row r="50" customFormat="false" ht="36" hidden="false" customHeight="true" outlineLevel="0" collapsed="false">
      <c r="A50" s="27" t="n">
        <v>1</v>
      </c>
      <c r="B50" s="13" t="s">
        <v>586</v>
      </c>
      <c r="C50" s="27"/>
      <c r="D50" s="27"/>
      <c r="E50" s="27"/>
      <c r="F50" s="27"/>
      <c r="G50" s="17"/>
      <c r="H50" s="30" t="s">
        <v>587</v>
      </c>
    </row>
    <row r="51" customFormat="false" ht="24" hidden="false" customHeight="true" outlineLevel="0" collapsed="false">
      <c r="A51" s="27" t="n">
        <v>2</v>
      </c>
      <c r="B51" s="14" t="s">
        <v>588</v>
      </c>
      <c r="C51" s="27" t="s">
        <v>284</v>
      </c>
      <c r="D51" s="27" t="s">
        <v>129</v>
      </c>
      <c r="E51" s="27"/>
      <c r="F51" s="27"/>
      <c r="G51" s="17"/>
      <c r="H51" s="30" t="s">
        <v>589</v>
      </c>
    </row>
    <row r="52" customFormat="false" ht="15" hidden="false" customHeight="true" outlineLevel="0" collapsed="false">
      <c r="A52" s="27" t="n">
        <v>3</v>
      </c>
      <c r="B52" s="14" t="s">
        <v>590</v>
      </c>
      <c r="C52" s="27" t="s">
        <v>591</v>
      </c>
      <c r="D52" s="27" t="s">
        <v>592</v>
      </c>
      <c r="E52" s="27" t="s">
        <v>593</v>
      </c>
      <c r="F52" s="27" t="s">
        <v>583</v>
      </c>
      <c r="G52" s="17"/>
      <c r="H52" s="30" t="s">
        <v>594</v>
      </c>
    </row>
    <row r="53" customFormat="false" ht="36" hidden="false" customHeight="true" outlineLevel="0" collapsed="false">
      <c r="A53" s="27" t="n">
        <v>4</v>
      </c>
      <c r="B53" s="14" t="s">
        <v>595</v>
      </c>
      <c r="C53" s="27" t="s">
        <v>492</v>
      </c>
      <c r="D53" s="27" t="s">
        <v>568</v>
      </c>
      <c r="E53" s="27" t="s">
        <v>494</v>
      </c>
      <c r="F53" s="27" t="s">
        <v>495</v>
      </c>
      <c r="G53" s="17"/>
      <c r="H53" s="30" t="s">
        <v>596</v>
      </c>
    </row>
    <row r="54" customFormat="false" ht="24" hidden="false" customHeight="true" outlineLevel="0" collapsed="false">
      <c r="A54" s="27" t="n">
        <v>5</v>
      </c>
      <c r="B54" s="14" t="s">
        <v>597</v>
      </c>
      <c r="C54" s="27" t="s">
        <v>492</v>
      </c>
      <c r="D54" s="27" t="s">
        <v>499</v>
      </c>
      <c r="E54" s="27" t="s">
        <v>494</v>
      </c>
      <c r="F54" s="27" t="s">
        <v>500</v>
      </c>
      <c r="G54" s="17"/>
      <c r="H54" s="30" t="s">
        <v>598</v>
      </c>
    </row>
    <row r="55" customFormat="false" ht="24" hidden="false" customHeight="true" outlineLevel="0" collapsed="false">
      <c r="A55" s="27" t="n">
        <v>6</v>
      </c>
      <c r="B55" s="14" t="s">
        <v>599</v>
      </c>
      <c r="C55" s="27" t="s">
        <v>498</v>
      </c>
      <c r="D55" s="27" t="s">
        <v>499</v>
      </c>
      <c r="E55" s="27" t="s">
        <v>579</v>
      </c>
      <c r="F55" s="27" t="s">
        <v>500</v>
      </c>
      <c r="G55" s="17"/>
      <c r="H55" s="30" t="s">
        <v>600</v>
      </c>
    </row>
    <row r="56" customFormat="false" ht="36" hidden="false" customHeight="true" outlineLevel="0" collapsed="false">
      <c r="A56" s="27" t="n">
        <v>7</v>
      </c>
      <c r="B56" s="14" t="s">
        <v>601</v>
      </c>
      <c r="C56" s="27" t="s">
        <v>498</v>
      </c>
      <c r="D56" s="27" t="s">
        <v>505</v>
      </c>
      <c r="E56" s="27" t="s">
        <v>506</v>
      </c>
      <c r="F56" s="27" t="s">
        <v>511</v>
      </c>
      <c r="G56" s="17"/>
      <c r="H56" s="30" t="s">
        <v>602</v>
      </c>
    </row>
    <row r="57" customFormat="false" ht="24" hidden="false" customHeight="true" outlineLevel="0" collapsed="false">
      <c r="A57" s="27" t="n">
        <v>8</v>
      </c>
      <c r="B57" s="14" t="s">
        <v>603</v>
      </c>
      <c r="C57" s="27" t="s">
        <v>492</v>
      </c>
      <c r="D57" s="27" t="s">
        <v>505</v>
      </c>
      <c r="E57" s="27" t="s">
        <v>506</v>
      </c>
      <c r="F57" s="27" t="s">
        <v>604</v>
      </c>
      <c r="G57" s="17"/>
      <c r="H57" s="30" t="s">
        <v>605</v>
      </c>
    </row>
    <row r="58" customFormat="false" ht="15" hidden="false" customHeight="true" outlineLevel="0" collapsed="false">
      <c r="A58" s="27" t="n">
        <v>9</v>
      </c>
      <c r="B58" s="14" t="s">
        <v>606</v>
      </c>
      <c r="C58" s="27" t="s">
        <v>498</v>
      </c>
      <c r="D58" s="27" t="s">
        <v>516</v>
      </c>
      <c r="E58" s="27" t="s">
        <v>506</v>
      </c>
      <c r="F58" s="27" t="s">
        <v>507</v>
      </c>
      <c r="G58" s="17"/>
      <c r="H58" s="30" t="s">
        <v>607</v>
      </c>
    </row>
    <row r="59" customFormat="false" ht="24" hidden="false" customHeight="true" outlineLevel="0" collapsed="false">
      <c r="A59" s="27" t="n">
        <v>10</v>
      </c>
      <c r="B59" s="14" t="s">
        <v>608</v>
      </c>
      <c r="C59" s="27" t="s">
        <v>498</v>
      </c>
      <c r="D59" s="27" t="s">
        <v>516</v>
      </c>
      <c r="E59" s="27" t="s">
        <v>506</v>
      </c>
      <c r="F59" s="27" t="s">
        <v>507</v>
      </c>
      <c r="G59" s="17"/>
      <c r="H59" s="30" t="s">
        <v>609</v>
      </c>
    </row>
    <row r="60" customFormat="false" ht="15" hidden="false" customHeight="true" outlineLevel="0" collapsed="false">
      <c r="A60" s="27" t="n">
        <v>11</v>
      </c>
      <c r="B60" s="14" t="s">
        <v>610</v>
      </c>
      <c r="C60" s="27" t="s">
        <v>492</v>
      </c>
      <c r="D60" s="27" t="s">
        <v>505</v>
      </c>
      <c r="E60" s="27" t="s">
        <v>506</v>
      </c>
      <c r="F60" s="27" t="s">
        <v>517</v>
      </c>
      <c r="G60" s="17"/>
      <c r="H60" s="30" t="s">
        <v>611</v>
      </c>
    </row>
    <row r="61" customFormat="false" ht="15" hidden="false" customHeight="true" outlineLevel="0" collapsed="false">
      <c r="A61" s="27" t="n">
        <v>12</v>
      </c>
      <c r="B61" s="14" t="s">
        <v>612</v>
      </c>
      <c r="C61" s="27" t="s">
        <v>498</v>
      </c>
      <c r="D61" s="27" t="s">
        <v>613</v>
      </c>
      <c r="E61" s="27" t="s">
        <v>494</v>
      </c>
      <c r="F61" s="27" t="s">
        <v>517</v>
      </c>
      <c r="G61" s="17"/>
      <c r="H61" s="30" t="s">
        <v>614</v>
      </c>
    </row>
    <row r="62" customFormat="false" ht="24" hidden="false" customHeight="true" outlineLevel="0" collapsed="false">
      <c r="A62" s="27" t="n">
        <v>13</v>
      </c>
      <c r="B62" s="13" t="s">
        <v>615</v>
      </c>
      <c r="C62" s="27"/>
      <c r="D62" s="27" t="s">
        <v>528</v>
      </c>
      <c r="E62" s="27"/>
      <c r="F62" s="27"/>
      <c r="G62" s="17"/>
      <c r="H62" s="30" t="s">
        <v>616</v>
      </c>
    </row>
    <row r="64" customFormat="false" ht="15" hidden="false" customHeight="false" outlineLevel="0" collapsed="false">
      <c r="A64" s="5" t="s">
        <v>617</v>
      </c>
    </row>
    <row r="65" customFormat="false" ht="25.5" hidden="false" customHeight="true" outlineLevel="0" collapsed="false">
      <c r="A65" s="16" t="s">
        <v>618</v>
      </c>
      <c r="B65" s="16"/>
      <c r="C65" s="16"/>
      <c r="D65" s="16"/>
      <c r="E65" s="16"/>
      <c r="F65" s="16"/>
      <c r="G65" s="16"/>
      <c r="H65" s="16"/>
    </row>
    <row r="66" customFormat="false" ht="25.5" hidden="false" customHeight="true" outlineLevel="0" collapsed="false">
      <c r="A66" s="16" t="s">
        <v>619</v>
      </c>
      <c r="B66" s="16"/>
      <c r="C66" s="16"/>
      <c r="D66" s="16"/>
      <c r="E66" s="16"/>
      <c r="F66" s="16"/>
      <c r="G66" s="16"/>
      <c r="H66" s="16"/>
    </row>
    <row r="67" customFormat="false" ht="25.5" hidden="false" customHeight="true" outlineLevel="0" collapsed="false">
      <c r="A67" s="16" t="s">
        <v>620</v>
      </c>
      <c r="B67" s="16"/>
      <c r="C67" s="16"/>
      <c r="D67" s="16"/>
      <c r="E67" s="16"/>
      <c r="F67" s="16"/>
      <c r="G67" s="16"/>
      <c r="H67" s="16"/>
    </row>
    <row r="68" customFormat="false" ht="25.5" hidden="false" customHeight="true" outlineLevel="0" collapsed="false">
      <c r="A68" s="16" t="s">
        <v>621</v>
      </c>
      <c r="B68" s="16"/>
      <c r="C68" s="16"/>
      <c r="D68" s="16"/>
      <c r="E68" s="16"/>
      <c r="F68" s="16"/>
      <c r="G68" s="16"/>
      <c r="H68" s="16"/>
    </row>
    <row r="69" customFormat="false" ht="15" hidden="false" customHeight="true" outlineLevel="0" collapsed="false">
      <c r="A69" s="16" t="s">
        <v>622</v>
      </c>
      <c r="B69" s="16"/>
      <c r="C69" s="16"/>
      <c r="D69" s="16"/>
      <c r="E69" s="16"/>
      <c r="F69" s="16"/>
      <c r="G69" s="16"/>
      <c r="H69" s="16"/>
    </row>
    <row r="70" customFormat="false" ht="25.5" hidden="false" customHeight="true" outlineLevel="0" collapsed="false">
      <c r="A70" s="16" t="s">
        <v>623</v>
      </c>
      <c r="B70" s="16"/>
      <c r="C70" s="16"/>
      <c r="D70" s="16"/>
      <c r="E70" s="16"/>
      <c r="F70" s="16"/>
      <c r="G70" s="16"/>
      <c r="H70" s="16"/>
    </row>
  </sheetData>
  <mergeCells count="6">
    <mergeCell ref="A65:H65"/>
    <mergeCell ref="A66:H66"/>
    <mergeCell ref="A67:H67"/>
    <mergeCell ref="A68:H68"/>
    <mergeCell ref="A69:H69"/>
    <mergeCell ref="A70:H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0"/>
    <col collapsed="false" customWidth="true" hidden="false" outlineLevel="0" max="4" min="4" style="0" width="18"/>
    <col collapsed="false" customWidth="true" hidden="false" outlineLevel="0" max="5" min="5" style="0" width="20"/>
    <col collapsed="false" customWidth="true" hidden="false" outlineLevel="0" max="8" min="6" style="0" width="16"/>
    <col collapsed="false" customWidth="true" hidden="false" outlineLevel="0" max="10" min="9" style="0" width="14"/>
    <col collapsed="false" customWidth="true" hidden="false" outlineLevel="0" max="11" min="11" style="0" width="34"/>
  </cols>
  <sheetData>
    <row r="1" customFormat="false" ht="24" hidden="false" customHeight="true" outlineLevel="0" collapsed="false">
      <c r="A1" s="1" t="s">
        <v>624</v>
      </c>
      <c r="B1" s="2"/>
      <c r="C1" s="2"/>
      <c r="D1" s="2"/>
      <c r="E1" s="2"/>
      <c r="F1" s="2"/>
      <c r="G1" s="2"/>
      <c r="H1" s="2"/>
      <c r="I1" s="2"/>
      <c r="J1" s="2"/>
      <c r="K1" s="2"/>
    </row>
    <row r="2" customFormat="false" ht="15" hidden="false" customHeight="false" outlineLevel="0" collapsed="false">
      <c r="A2" s="7" t="s">
        <v>625</v>
      </c>
    </row>
    <row r="4" customFormat="false" ht="15" hidden="false" customHeight="false" outlineLevel="0" collapsed="false">
      <c r="A4" s="5" t="s">
        <v>626</v>
      </c>
      <c r="B4" s="6"/>
      <c r="C4" s="6"/>
      <c r="D4" s="6"/>
      <c r="E4" s="6"/>
      <c r="F4" s="6"/>
      <c r="G4" s="6"/>
      <c r="H4" s="6"/>
      <c r="I4" s="6"/>
      <c r="J4" s="6"/>
      <c r="K4" s="6"/>
    </row>
    <row r="5" customFormat="false" ht="30" hidden="false" customHeight="true" outlineLevel="0" collapsed="false">
      <c r="A5" s="9"/>
      <c r="B5" s="9" t="s">
        <v>627</v>
      </c>
      <c r="C5" s="9" t="s">
        <v>628</v>
      </c>
      <c r="D5" s="9" t="s">
        <v>629</v>
      </c>
      <c r="E5" s="9"/>
      <c r="F5" s="9"/>
      <c r="G5" s="9"/>
      <c r="H5" s="9"/>
      <c r="I5" s="9"/>
      <c r="J5" s="9"/>
      <c r="K5" s="9" t="s">
        <v>362</v>
      </c>
    </row>
    <row r="6" customFormat="false" ht="25.5" hidden="false" customHeight="true" outlineLevel="0" collapsed="false">
      <c r="B6" s="13" t="s">
        <v>630</v>
      </c>
      <c r="C6" s="39" t="s">
        <v>631</v>
      </c>
      <c r="D6" s="27" t="n">
        <v>260</v>
      </c>
      <c r="K6" s="30" t="s">
        <v>632</v>
      </c>
    </row>
    <row r="7" customFormat="false" ht="39" hidden="false" customHeight="true" outlineLevel="0" collapsed="false">
      <c r="B7" s="13" t="s">
        <v>633</v>
      </c>
      <c r="C7" s="39" t="s">
        <v>634</v>
      </c>
      <c r="D7" s="27" t="n">
        <v>340</v>
      </c>
      <c r="K7" s="30" t="s">
        <v>635</v>
      </c>
    </row>
    <row r="8" customFormat="false" ht="15" hidden="false" customHeight="true" outlineLevel="0" collapsed="false">
      <c r="B8" s="13" t="s">
        <v>636</v>
      </c>
      <c r="C8" s="39" t="s">
        <v>637</v>
      </c>
      <c r="D8" s="27" t="s">
        <v>284</v>
      </c>
      <c r="K8" s="30" t="s">
        <v>638</v>
      </c>
    </row>
    <row r="9" customFormat="false" ht="25.5" hidden="false" customHeight="true" outlineLevel="0" collapsed="false">
      <c r="B9" s="13" t="s">
        <v>595</v>
      </c>
      <c r="C9" s="39" t="s">
        <v>639</v>
      </c>
      <c r="D9" s="27" t="s">
        <v>284</v>
      </c>
      <c r="K9" s="30" t="s">
        <v>640</v>
      </c>
    </row>
    <row r="10" customFormat="false" ht="25.5" hidden="false" customHeight="true" outlineLevel="0" collapsed="false">
      <c r="B10" s="13" t="s">
        <v>601</v>
      </c>
      <c r="C10" s="39" t="s">
        <v>641</v>
      </c>
      <c r="D10" s="27" t="s">
        <v>284</v>
      </c>
      <c r="K10" s="30" t="s">
        <v>642</v>
      </c>
    </row>
    <row r="11" customFormat="false" ht="25.5" hidden="false" customHeight="true" outlineLevel="0" collapsed="false">
      <c r="B11" s="13" t="s">
        <v>643</v>
      </c>
      <c r="C11" s="39" t="s">
        <v>644</v>
      </c>
      <c r="D11" s="27" t="s">
        <v>284</v>
      </c>
      <c r="K11" s="30" t="s">
        <v>645</v>
      </c>
    </row>
    <row r="12" customFormat="false" ht="25.5" hidden="false" customHeight="true" outlineLevel="0" collapsed="false">
      <c r="B12" s="13" t="s">
        <v>646</v>
      </c>
      <c r="C12" s="39" t="s">
        <v>647</v>
      </c>
      <c r="D12" s="27" t="s">
        <v>284</v>
      </c>
      <c r="K12" s="30" t="s">
        <v>648</v>
      </c>
    </row>
    <row r="13" customFormat="false" ht="25.5" hidden="false" customHeight="true" outlineLevel="0" collapsed="false">
      <c r="B13" s="13" t="s">
        <v>649</v>
      </c>
      <c r="C13" s="39" t="s">
        <v>650</v>
      </c>
      <c r="D13" s="27" t="s">
        <v>284</v>
      </c>
      <c r="K13" s="30" t="s">
        <v>651</v>
      </c>
    </row>
    <row r="15" customFormat="false" ht="15" hidden="false" customHeight="false" outlineLevel="0" collapsed="false">
      <c r="A15" s="5" t="s">
        <v>652</v>
      </c>
      <c r="B15" s="6"/>
      <c r="C15" s="6"/>
      <c r="D15" s="6"/>
      <c r="E15" s="6"/>
      <c r="F15" s="6"/>
      <c r="G15" s="6"/>
      <c r="H15" s="6"/>
      <c r="I15" s="6"/>
      <c r="J15" s="6"/>
      <c r="K15" s="6"/>
    </row>
    <row r="16" customFormat="false" ht="30" hidden="false" customHeight="true" outlineLevel="0" collapsed="false">
      <c r="A16" s="9" t="s">
        <v>653</v>
      </c>
      <c r="B16" s="9" t="s">
        <v>67</v>
      </c>
      <c r="C16" s="9" t="s">
        <v>654</v>
      </c>
      <c r="D16" s="9" t="s">
        <v>655</v>
      </c>
      <c r="E16" s="9" t="s">
        <v>656</v>
      </c>
      <c r="F16" s="9" t="s">
        <v>657</v>
      </c>
      <c r="G16" s="9" t="s">
        <v>658</v>
      </c>
      <c r="H16" s="9" t="s">
        <v>659</v>
      </c>
      <c r="I16" s="9" t="s">
        <v>643</v>
      </c>
      <c r="J16" s="9" t="s">
        <v>660</v>
      </c>
      <c r="K16" s="9" t="s">
        <v>661</v>
      </c>
    </row>
    <row r="17" customFormat="false" ht="39" hidden="false" customHeight="true" outlineLevel="0" collapsed="false">
      <c r="A17" s="10" t="n">
        <v>1</v>
      </c>
      <c r="B17" s="27" t="s">
        <v>342</v>
      </c>
      <c r="C17" s="27" t="s">
        <v>662</v>
      </c>
      <c r="D17" s="27" t="s">
        <v>663</v>
      </c>
      <c r="E17" s="27" t="s">
        <v>664</v>
      </c>
      <c r="F17" s="27" t="s">
        <v>665</v>
      </c>
      <c r="G17" s="27" t="s">
        <v>666</v>
      </c>
      <c r="H17" s="27" t="s">
        <v>667</v>
      </c>
      <c r="I17" s="27" t="s">
        <v>668</v>
      </c>
      <c r="J17" s="27" t="s">
        <v>669</v>
      </c>
      <c r="K17" s="30" t="s">
        <v>670</v>
      </c>
    </row>
    <row r="18" customFormat="false" ht="39" hidden="false" customHeight="true" outlineLevel="0" collapsed="false">
      <c r="A18" s="10" t="n">
        <v>2</v>
      </c>
      <c r="B18" s="27" t="s">
        <v>342</v>
      </c>
      <c r="C18" s="27" t="s">
        <v>631</v>
      </c>
      <c r="D18" s="27" t="s">
        <v>671</v>
      </c>
      <c r="E18" s="27" t="s">
        <v>672</v>
      </c>
      <c r="F18" s="27" t="s">
        <v>673</v>
      </c>
      <c r="G18" s="27" t="s">
        <v>674</v>
      </c>
      <c r="H18" s="27" t="s">
        <v>675</v>
      </c>
      <c r="I18" s="27" t="s">
        <v>676</v>
      </c>
      <c r="J18" s="27" t="s">
        <v>677</v>
      </c>
      <c r="K18" s="30" t="s">
        <v>678</v>
      </c>
    </row>
    <row r="19" customFormat="false" ht="25.5" hidden="false" customHeight="true" outlineLevel="0" collapsed="false">
      <c r="A19" s="10" t="n">
        <v>3</v>
      </c>
      <c r="B19" s="27" t="s">
        <v>342</v>
      </c>
      <c r="C19" s="27" t="s">
        <v>679</v>
      </c>
      <c r="D19" s="27" t="s">
        <v>680</v>
      </c>
      <c r="E19" s="27" t="s">
        <v>681</v>
      </c>
      <c r="F19" s="27" t="s">
        <v>682</v>
      </c>
      <c r="G19" s="27" t="s">
        <v>683</v>
      </c>
      <c r="H19" s="27" t="s">
        <v>684</v>
      </c>
      <c r="I19" s="27" t="s">
        <v>685</v>
      </c>
      <c r="J19" s="27" t="s">
        <v>686</v>
      </c>
      <c r="K19" s="30" t="s">
        <v>687</v>
      </c>
    </row>
    <row r="20" customFormat="false" ht="51.75" hidden="false" customHeight="true" outlineLevel="0" collapsed="false">
      <c r="A20" s="40" t="n">
        <v>4</v>
      </c>
      <c r="B20" s="41" t="s">
        <v>342</v>
      </c>
      <c r="C20" s="41" t="s">
        <v>688</v>
      </c>
      <c r="D20" s="41" t="s">
        <v>284</v>
      </c>
      <c r="E20" s="41" t="s">
        <v>689</v>
      </c>
      <c r="F20" s="41" t="s">
        <v>690</v>
      </c>
      <c r="G20" s="41" t="s">
        <v>691</v>
      </c>
      <c r="H20" s="41" t="s">
        <v>691</v>
      </c>
      <c r="I20" s="41" t="s">
        <v>692</v>
      </c>
      <c r="J20" s="41" t="s">
        <v>693</v>
      </c>
      <c r="K20" s="42" t="s">
        <v>694</v>
      </c>
    </row>
    <row r="21" customFormat="false" ht="39" hidden="false" customHeight="true" outlineLevel="0" collapsed="false">
      <c r="A21" s="10" t="n">
        <v>5</v>
      </c>
      <c r="B21" s="27" t="s">
        <v>591</v>
      </c>
      <c r="C21" s="27" t="s">
        <v>695</v>
      </c>
      <c r="D21" s="27" t="s">
        <v>696</v>
      </c>
      <c r="E21" s="27" t="s">
        <v>697</v>
      </c>
      <c r="F21" s="27" t="s">
        <v>698</v>
      </c>
      <c r="G21" s="27" t="s">
        <v>674</v>
      </c>
      <c r="H21" s="27" t="s">
        <v>674</v>
      </c>
      <c r="I21" s="27" t="s">
        <v>676</v>
      </c>
      <c r="J21" s="27" t="s">
        <v>699</v>
      </c>
      <c r="K21" s="30" t="s">
        <v>700</v>
      </c>
    </row>
    <row r="22" customFormat="false" ht="15" hidden="false" customHeight="true" outlineLevel="0" collapsed="false">
      <c r="A22" s="10" t="n">
        <v>6</v>
      </c>
      <c r="B22" s="27" t="s">
        <v>591</v>
      </c>
      <c r="C22" s="27" t="s">
        <v>701</v>
      </c>
      <c r="D22" s="27" t="s">
        <v>680</v>
      </c>
      <c r="E22" s="27" t="s">
        <v>681</v>
      </c>
      <c r="F22" s="27" t="s">
        <v>702</v>
      </c>
      <c r="G22" s="27" t="s">
        <v>703</v>
      </c>
      <c r="H22" s="27" t="s">
        <v>683</v>
      </c>
      <c r="I22" s="27" t="s">
        <v>704</v>
      </c>
      <c r="J22" s="27" t="s">
        <v>705</v>
      </c>
      <c r="K22" s="30" t="s">
        <v>706</v>
      </c>
    </row>
    <row r="23" customFormat="false" ht="25.5" hidden="false" customHeight="true" outlineLevel="0" collapsed="false">
      <c r="A23" s="10" t="n">
        <v>7</v>
      </c>
      <c r="B23" s="27" t="s">
        <v>591</v>
      </c>
      <c r="C23" s="27" t="s">
        <v>707</v>
      </c>
      <c r="D23" s="27" t="s">
        <v>708</v>
      </c>
      <c r="E23" s="27" t="s">
        <v>709</v>
      </c>
      <c r="F23" s="27" t="s">
        <v>710</v>
      </c>
      <c r="G23" s="27" t="s">
        <v>711</v>
      </c>
      <c r="H23" s="27" t="s">
        <v>711</v>
      </c>
      <c r="I23" s="27" t="s">
        <v>712</v>
      </c>
      <c r="J23" s="27" t="s">
        <v>713</v>
      </c>
      <c r="K23" s="30" t="s">
        <v>714</v>
      </c>
    </row>
    <row r="24" customFormat="false" ht="25.5" hidden="false" customHeight="true" outlineLevel="0" collapsed="false">
      <c r="A24" s="40" t="n">
        <v>8</v>
      </c>
      <c r="B24" s="41" t="s">
        <v>591</v>
      </c>
      <c r="C24" s="41" t="s">
        <v>715</v>
      </c>
      <c r="D24" s="41" t="s">
        <v>284</v>
      </c>
      <c r="E24" s="41" t="s">
        <v>716</v>
      </c>
      <c r="F24" s="41" t="s">
        <v>717</v>
      </c>
      <c r="G24" s="41" t="s">
        <v>718</v>
      </c>
      <c r="H24" s="41" t="s">
        <v>718</v>
      </c>
      <c r="I24" s="41" t="s">
        <v>719</v>
      </c>
      <c r="J24" s="41" t="s">
        <v>669</v>
      </c>
      <c r="K24" s="42" t="s">
        <v>720</v>
      </c>
    </row>
    <row r="25" customFormat="false" ht="51.75" hidden="false" customHeight="true" outlineLevel="0" collapsed="false">
      <c r="A25" s="10" t="n">
        <v>9</v>
      </c>
      <c r="B25" s="27" t="s">
        <v>498</v>
      </c>
      <c r="C25" s="27" t="s">
        <v>721</v>
      </c>
      <c r="D25" s="27" t="s">
        <v>671</v>
      </c>
      <c r="E25" s="27" t="s">
        <v>709</v>
      </c>
      <c r="F25" s="27" t="s">
        <v>722</v>
      </c>
      <c r="G25" s="27" t="s">
        <v>703</v>
      </c>
      <c r="H25" s="27" t="s">
        <v>723</v>
      </c>
      <c r="I25" s="27" t="s">
        <v>704</v>
      </c>
      <c r="J25" s="27" t="s">
        <v>724</v>
      </c>
      <c r="K25" s="30" t="s">
        <v>725</v>
      </c>
    </row>
    <row r="26" customFormat="false" ht="25.5" hidden="false" customHeight="true" outlineLevel="0" collapsed="false">
      <c r="A26" s="10" t="n">
        <v>10</v>
      </c>
      <c r="B26" s="27" t="s">
        <v>498</v>
      </c>
      <c r="C26" s="27" t="s">
        <v>726</v>
      </c>
      <c r="D26" s="27" t="s">
        <v>708</v>
      </c>
      <c r="E26" s="27" t="s">
        <v>727</v>
      </c>
      <c r="F26" s="27" t="s">
        <v>682</v>
      </c>
      <c r="G26" s="27" t="s">
        <v>728</v>
      </c>
      <c r="H26" s="27" t="s">
        <v>684</v>
      </c>
      <c r="I26" s="27" t="s">
        <v>729</v>
      </c>
      <c r="J26" s="27" t="s">
        <v>730</v>
      </c>
      <c r="K26" s="30" t="s">
        <v>731</v>
      </c>
    </row>
    <row r="27" customFormat="false" ht="15" hidden="false" customHeight="true" outlineLevel="0" collapsed="false">
      <c r="A27" s="10" t="n">
        <v>11</v>
      </c>
      <c r="B27" s="27" t="s">
        <v>498</v>
      </c>
      <c r="C27" s="27" t="s">
        <v>732</v>
      </c>
      <c r="D27" s="27" t="s">
        <v>733</v>
      </c>
      <c r="E27" s="27" t="s">
        <v>734</v>
      </c>
      <c r="F27" s="27" t="s">
        <v>735</v>
      </c>
      <c r="G27" s="27" t="s">
        <v>736</v>
      </c>
      <c r="H27" s="27" t="s">
        <v>737</v>
      </c>
      <c r="I27" s="27" t="s">
        <v>738</v>
      </c>
      <c r="J27" s="27" t="s">
        <v>739</v>
      </c>
      <c r="K27" s="30" t="s">
        <v>740</v>
      </c>
    </row>
    <row r="28" customFormat="false" ht="51.75" hidden="false" customHeight="true" outlineLevel="0" collapsed="false">
      <c r="A28" s="40" t="n">
        <v>12</v>
      </c>
      <c r="B28" s="41" t="s">
        <v>498</v>
      </c>
      <c r="C28" s="41" t="s">
        <v>741</v>
      </c>
      <c r="D28" s="41" t="s">
        <v>284</v>
      </c>
      <c r="E28" s="41" t="s">
        <v>664</v>
      </c>
      <c r="F28" s="41" t="s">
        <v>742</v>
      </c>
      <c r="G28" s="41" t="s">
        <v>666</v>
      </c>
      <c r="H28" s="41" t="s">
        <v>666</v>
      </c>
      <c r="I28" s="41" t="s">
        <v>743</v>
      </c>
      <c r="J28" s="41" t="s">
        <v>744</v>
      </c>
      <c r="K28" s="42" t="s">
        <v>745</v>
      </c>
    </row>
    <row r="30" customFormat="false" ht="15" hidden="false" customHeight="false" outlineLevel="0" collapsed="false">
      <c r="A30" s="15" t="s">
        <v>746</v>
      </c>
    </row>
    <row r="31" customFormat="false" ht="25.5" hidden="false" customHeight="true" outlineLevel="0" collapsed="false">
      <c r="A31" s="16" t="s">
        <v>747</v>
      </c>
      <c r="B31" s="16"/>
      <c r="C31" s="16"/>
      <c r="D31" s="16"/>
      <c r="E31" s="16"/>
      <c r="F31" s="16"/>
      <c r="G31" s="16"/>
      <c r="H31" s="16"/>
      <c r="I31" s="16"/>
      <c r="J31" s="16"/>
      <c r="K31" s="16"/>
    </row>
    <row r="32" customFormat="false" ht="15" hidden="false" customHeight="true" outlineLevel="0" collapsed="false">
      <c r="A32" s="16" t="s">
        <v>748</v>
      </c>
      <c r="B32" s="16"/>
      <c r="C32" s="16"/>
      <c r="D32" s="16"/>
      <c r="E32" s="16"/>
      <c r="F32" s="16"/>
      <c r="G32" s="16"/>
      <c r="H32" s="16"/>
      <c r="I32" s="16"/>
      <c r="J32" s="16"/>
      <c r="K32" s="16"/>
    </row>
    <row r="33" customFormat="false" ht="25.5" hidden="false" customHeight="true" outlineLevel="0" collapsed="false">
      <c r="A33" s="16" t="s">
        <v>749</v>
      </c>
      <c r="B33" s="16"/>
      <c r="C33" s="16"/>
      <c r="D33" s="16"/>
      <c r="E33" s="16"/>
      <c r="F33" s="16"/>
      <c r="G33" s="16"/>
      <c r="H33" s="16"/>
      <c r="I33" s="16"/>
      <c r="J33" s="16"/>
      <c r="K33" s="16"/>
    </row>
    <row r="34" customFormat="false" ht="25.5" hidden="false" customHeight="true" outlineLevel="0" collapsed="false">
      <c r="A34" s="16" t="s">
        <v>750</v>
      </c>
      <c r="B34" s="16"/>
      <c r="C34" s="16"/>
      <c r="D34" s="16"/>
      <c r="E34" s="16"/>
      <c r="F34" s="16"/>
      <c r="G34" s="16"/>
      <c r="H34" s="16"/>
      <c r="I34" s="16"/>
      <c r="J34" s="16"/>
      <c r="K34" s="16"/>
    </row>
  </sheetData>
  <mergeCells count="4">
    <mergeCell ref="A31:K31"/>
    <mergeCell ref="A32:K32"/>
    <mergeCell ref="A33:K33"/>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11" min="4" style="0" width="9"/>
    <col collapsed="false" customWidth="true" hidden="false" outlineLevel="0" max="12" min="12" style="0" width="11"/>
    <col collapsed="false" customWidth="true" hidden="false" outlineLevel="0" max="13" min="13" style="0" width="10"/>
    <col collapsed="false" customWidth="true" hidden="false" outlineLevel="0" max="14" min="14" style="0" width="9"/>
    <col collapsed="false" customWidth="true" hidden="false" outlineLevel="0" max="15" min="15" style="0" width="11"/>
    <col collapsed="false" customWidth="true" hidden="false" outlineLevel="0" max="17" min="16" style="0" width="10"/>
    <col collapsed="false" customWidth="true" hidden="false" outlineLevel="0" max="22" min="18" style="0" width="9"/>
    <col collapsed="false" customWidth="true" hidden="false" outlineLevel="0" max="23" min="23" style="0" width="10"/>
    <col collapsed="false" customWidth="true" hidden="false" outlineLevel="0" max="24" min="24" style="0" width="8"/>
    <col collapsed="false" customWidth="true" hidden="false" outlineLevel="0" max="25" min="25" style="0" width="34"/>
  </cols>
  <sheetData>
    <row r="1" customFormat="false" ht="24" hidden="false" customHeight="true" outlineLevel="0" collapsed="false">
      <c r="A1" s="1" t="s">
        <v>751</v>
      </c>
      <c r="B1" s="2"/>
      <c r="C1" s="2"/>
      <c r="D1" s="2"/>
      <c r="E1" s="2"/>
      <c r="F1" s="2"/>
      <c r="G1" s="2"/>
      <c r="H1" s="2"/>
      <c r="I1" s="2"/>
      <c r="J1" s="2"/>
      <c r="K1" s="2"/>
      <c r="L1" s="2"/>
      <c r="M1" s="2"/>
      <c r="N1" s="2"/>
      <c r="O1" s="2"/>
      <c r="P1" s="2"/>
      <c r="Q1" s="2"/>
      <c r="R1" s="2"/>
      <c r="S1" s="2"/>
      <c r="T1" s="2"/>
      <c r="U1" s="2"/>
      <c r="V1" s="2"/>
      <c r="W1" s="2"/>
      <c r="X1" s="2"/>
      <c r="Y1" s="2"/>
    </row>
    <row r="2" customFormat="false" ht="15" hidden="false" customHeight="false" outlineLevel="0" collapsed="false">
      <c r="A2" s="7" t="s">
        <v>752</v>
      </c>
      <c r="D2" s="43" t="n">
        <v>8</v>
      </c>
      <c r="E2" s="43" t="n">
        <v>4</v>
      </c>
      <c r="F2" s="43" t="n">
        <v>6</v>
      </c>
      <c r="G2" s="43" t="n">
        <v>15</v>
      </c>
      <c r="H2" s="43" t="n">
        <v>6</v>
      </c>
      <c r="I2" s="43" t="n">
        <v>6</v>
      </c>
      <c r="J2" s="43" t="n">
        <v>3</v>
      </c>
      <c r="K2" s="43" t="n">
        <v>3</v>
      </c>
      <c r="R2" s="43" t="n">
        <v>12</v>
      </c>
      <c r="S2" s="43" t="n">
        <v>10</v>
      </c>
      <c r="T2" s="43" t="n">
        <v>8</v>
      </c>
      <c r="U2" s="43" t="n">
        <v>13</v>
      </c>
      <c r="V2" s="43" t="n">
        <v>6</v>
      </c>
      <c r="Y2" s="7" t="s">
        <v>753</v>
      </c>
    </row>
    <row r="3" customFormat="false" ht="30" hidden="false" customHeight="true" outlineLevel="0" collapsed="false">
      <c r="A3" s="9" t="s">
        <v>754</v>
      </c>
      <c r="B3" s="9" t="s">
        <v>755</v>
      </c>
      <c r="C3" s="9" t="s">
        <v>756</v>
      </c>
      <c r="D3" s="9" t="s">
        <v>757</v>
      </c>
      <c r="E3" s="9" t="s">
        <v>758</v>
      </c>
      <c r="F3" s="9" t="s">
        <v>759</v>
      </c>
      <c r="G3" s="9" t="s">
        <v>760</v>
      </c>
      <c r="H3" s="9" t="s">
        <v>761</v>
      </c>
      <c r="I3" s="9" t="s">
        <v>762</v>
      </c>
      <c r="J3" s="9" t="s">
        <v>763</v>
      </c>
      <c r="K3" s="9" t="s">
        <v>764</v>
      </c>
      <c r="L3" s="9" t="s">
        <v>765</v>
      </c>
      <c r="M3" s="9" t="s">
        <v>766</v>
      </c>
      <c r="N3" s="9" t="s">
        <v>767</v>
      </c>
      <c r="O3" s="9" t="s">
        <v>768</v>
      </c>
      <c r="P3" s="9" t="s">
        <v>769</v>
      </c>
      <c r="Q3" s="9" t="s">
        <v>770</v>
      </c>
      <c r="R3" s="9" t="s">
        <v>771</v>
      </c>
      <c r="S3" s="9" t="s">
        <v>772</v>
      </c>
      <c r="T3" s="9" t="s">
        <v>773</v>
      </c>
      <c r="U3" s="9" t="s">
        <v>774</v>
      </c>
      <c r="V3" s="9" t="s">
        <v>775</v>
      </c>
      <c r="W3" s="9" t="s">
        <v>776</v>
      </c>
      <c r="X3" s="9" t="s">
        <v>777</v>
      </c>
      <c r="Y3" s="9" t="s">
        <v>778</v>
      </c>
    </row>
    <row r="4" customFormat="false" ht="15" hidden="false" customHeight="false" outlineLevel="0" collapsed="false">
      <c r="A4" s="44" t="n">
        <v>46272</v>
      </c>
      <c r="B4" s="27" t="s">
        <v>779</v>
      </c>
      <c r="C4" s="39" t="s">
        <v>780</v>
      </c>
      <c r="D4" s="39" t="n">
        <v>1</v>
      </c>
      <c r="E4" s="39" t="n">
        <v>1</v>
      </c>
      <c r="F4" s="39" t="n">
        <v>1</v>
      </c>
      <c r="G4" s="39" t="n">
        <v>1</v>
      </c>
      <c r="H4" s="39" t="n">
        <v>1</v>
      </c>
      <c r="I4" s="39" t="n">
        <v>1</v>
      </c>
      <c r="J4" s="39" t="n">
        <v>0</v>
      </c>
      <c r="K4" s="39" t="n">
        <v>1</v>
      </c>
      <c r="L4" s="31" t="n">
        <v>212</v>
      </c>
      <c r="M4" s="45" t="n">
        <v>2710</v>
      </c>
      <c r="N4" s="46" t="n">
        <v>5.2</v>
      </c>
      <c r="O4" s="31" t="n">
        <v>60</v>
      </c>
      <c r="P4" s="46" t="n">
        <v>6</v>
      </c>
      <c r="Q4" s="47" t="n">
        <f aca="false">IF($C4="AYUNO",0,IF($C4="LIGERO",NUTRICION!$C$21,NUTRICION!$C$20))</f>
        <v>2750</v>
      </c>
      <c r="R4" s="27" t="n">
        <f aca="false">IF(COUNTA($D4:$P4)=0,0,IF($C4="AYUNO",IF(N($M4)&lt;=200,1,0),IF(N($L4)&gt;=NUTRICION!$C$23,1,0)))</f>
        <v>1</v>
      </c>
      <c r="S4" s="27" t="n">
        <f aca="false">IF(COUNTA($D4:$P4)=0,0,IF($C4="AYUNO",IF(N($M4)&lt;=200,1,0),IF(AND(N($M4)&gt;=$Q4-150,N($M4)&lt;=$Q4+150),1,0)))</f>
        <v>1</v>
      </c>
      <c r="T4" s="27" t="n">
        <f aca="false">IF(COUNTA($D4:$P4)=0,0,IF(N($N4)&gt;=NUTRICION!$C$27,1,0))</f>
        <v>1</v>
      </c>
      <c r="U4" s="27" t="n">
        <f aca="false">IF(COUNTA($D4:$P4)=0,0,IF(N($O4)&gt;=NUTRICION!$C$30,1,0))</f>
        <v>0</v>
      </c>
      <c r="V4" s="27" t="n">
        <f aca="false">IF(COUNTA($D4:$P4)=0,0,IF(N($P4)&gt;=NUTRICION!$C$29,1,0))</f>
        <v>0</v>
      </c>
      <c r="W4" s="10" t="n">
        <f aca="false">IF(COUNTA($D4:$P4)=0,"",SUMPRODUCT($D$2:$K$2,$D4:$K4)+SUMPRODUCT($R$2:$V$2,$R4:$V4))</f>
        <v>78</v>
      </c>
      <c r="X4" s="48" t="n">
        <f aca="false">IF($W4="","",$W4/100)</f>
        <v>0.78</v>
      </c>
      <c r="Y4" s="49" t="s">
        <v>781</v>
      </c>
    </row>
    <row r="5" customFormat="false" ht="15" hidden="false" customHeight="false" outlineLevel="0" collapsed="false">
      <c r="A5" s="44" t="n">
        <v>46273</v>
      </c>
      <c r="B5" s="27" t="s">
        <v>782</v>
      </c>
      <c r="C5" s="39" t="s">
        <v>780</v>
      </c>
      <c r="D5" s="39"/>
      <c r="E5" s="39"/>
      <c r="F5" s="39"/>
      <c r="G5" s="39"/>
      <c r="H5" s="39"/>
      <c r="I5" s="39"/>
      <c r="J5" s="39"/>
      <c r="K5" s="39"/>
      <c r="L5" s="31"/>
      <c r="M5" s="45"/>
      <c r="N5" s="46"/>
      <c r="O5" s="31"/>
      <c r="P5" s="46"/>
      <c r="Q5" s="47" t="n">
        <f aca="false">IF($C5="AYUNO",0,IF($C5="LIGERO",NUTRICION!$C$21,NUTRICION!$C$20))</f>
        <v>2750</v>
      </c>
      <c r="R5" s="27" t="n">
        <f aca="false">IF(COUNTA($D5:$P5)=0,0,IF($C5="AYUNO",IF(N($M5)&lt;=200,1,0),IF(N($L5)&gt;=NUTRICION!$C$23,1,0)))</f>
        <v>0</v>
      </c>
      <c r="S5" s="27" t="n">
        <f aca="false">IF(COUNTA($D5:$P5)=0,0,IF($C5="AYUNO",IF(N($M5)&lt;=200,1,0),IF(AND(N($M5)&gt;=$Q5-150,N($M5)&lt;=$Q5+150),1,0)))</f>
        <v>0</v>
      </c>
      <c r="T5" s="27" t="n">
        <f aca="false">IF(COUNTA($D5:$P5)=0,0,IF(N($N5)&gt;=NUTRICION!$C$27,1,0))</f>
        <v>0</v>
      </c>
      <c r="U5" s="27" t="n">
        <f aca="false">IF(COUNTA($D5:$P5)=0,0,IF(N($O5)&gt;=NUTRICION!$C$30,1,0))</f>
        <v>0</v>
      </c>
      <c r="V5" s="27" t="n">
        <f aca="false">IF(COUNTA($D5:$P5)=0,0,IF(N($P5)&gt;=NUTRICION!$C$29,1,0))</f>
        <v>0</v>
      </c>
      <c r="W5" s="10" t="str">
        <f aca="false">IF(COUNTA($D5:$P5)=0,"",SUMPRODUCT($D$2:$K$2,$D5:$K5)+SUMPRODUCT($R$2:$V$2,$R5:$V5))</f>
        <v/>
      </c>
      <c r="X5" s="48" t="str">
        <f aca="false">IF($W5="","",$W5/100)</f>
        <v/>
      </c>
      <c r="Y5" s="14"/>
    </row>
    <row r="6" customFormat="false" ht="15" hidden="false" customHeight="false" outlineLevel="0" collapsed="false">
      <c r="A6" s="44" t="n">
        <v>46274</v>
      </c>
      <c r="B6" s="27" t="s">
        <v>783</v>
      </c>
      <c r="C6" s="39" t="s">
        <v>780</v>
      </c>
      <c r="D6" s="39"/>
      <c r="E6" s="39"/>
      <c r="F6" s="39"/>
      <c r="G6" s="39"/>
      <c r="H6" s="39"/>
      <c r="I6" s="39"/>
      <c r="J6" s="39"/>
      <c r="K6" s="39"/>
      <c r="L6" s="31"/>
      <c r="M6" s="45"/>
      <c r="N6" s="46"/>
      <c r="O6" s="31"/>
      <c r="P6" s="46"/>
      <c r="Q6" s="47" t="n">
        <f aca="false">IF($C6="AYUNO",0,IF($C6="LIGERO",NUTRICION!$C$21,NUTRICION!$C$20))</f>
        <v>2750</v>
      </c>
      <c r="R6" s="27" t="n">
        <f aca="false">IF(COUNTA($D6:$P6)=0,0,IF($C6="AYUNO",IF(N($M6)&lt;=200,1,0),IF(N($L6)&gt;=NUTRICION!$C$23,1,0)))</f>
        <v>0</v>
      </c>
      <c r="S6" s="27" t="n">
        <f aca="false">IF(COUNTA($D6:$P6)=0,0,IF($C6="AYUNO",IF(N($M6)&lt;=200,1,0),IF(AND(N($M6)&gt;=$Q6-150,N($M6)&lt;=$Q6+150),1,0)))</f>
        <v>0</v>
      </c>
      <c r="T6" s="27" t="n">
        <f aca="false">IF(COUNTA($D6:$P6)=0,0,IF(N($N6)&gt;=NUTRICION!$C$27,1,0))</f>
        <v>0</v>
      </c>
      <c r="U6" s="27" t="n">
        <f aca="false">IF(COUNTA($D6:$P6)=0,0,IF(N($O6)&gt;=NUTRICION!$C$30,1,0))</f>
        <v>0</v>
      </c>
      <c r="V6" s="27" t="n">
        <f aca="false">IF(COUNTA($D6:$P6)=0,0,IF(N($P6)&gt;=NUTRICION!$C$29,1,0))</f>
        <v>0</v>
      </c>
      <c r="W6" s="10" t="str">
        <f aca="false">IF(COUNTA($D6:$P6)=0,"",SUMPRODUCT($D$2:$K$2,$D6:$K6)+SUMPRODUCT($R$2:$V$2,$R6:$V6))</f>
        <v/>
      </c>
      <c r="X6" s="48" t="str">
        <f aca="false">IF($W6="","",$W6/100)</f>
        <v/>
      </c>
      <c r="Y6" s="14"/>
    </row>
    <row r="7" customFormat="false" ht="15" hidden="false" customHeight="false" outlineLevel="0" collapsed="false">
      <c r="A7" s="44" t="n">
        <v>46275</v>
      </c>
      <c r="B7" s="27" t="s">
        <v>784</v>
      </c>
      <c r="C7" s="39" t="s">
        <v>780</v>
      </c>
      <c r="D7" s="39"/>
      <c r="E7" s="39"/>
      <c r="F7" s="39"/>
      <c r="G7" s="39"/>
      <c r="H7" s="39"/>
      <c r="I7" s="39"/>
      <c r="J7" s="39"/>
      <c r="K7" s="39"/>
      <c r="L7" s="31"/>
      <c r="M7" s="45"/>
      <c r="N7" s="46"/>
      <c r="O7" s="31"/>
      <c r="P7" s="46"/>
      <c r="Q7" s="47" t="n">
        <f aca="false">IF($C7="AYUNO",0,IF($C7="LIGERO",NUTRICION!$C$21,NUTRICION!$C$20))</f>
        <v>2750</v>
      </c>
      <c r="R7" s="27" t="n">
        <f aca="false">IF(COUNTA($D7:$P7)=0,0,IF($C7="AYUNO",IF(N($M7)&lt;=200,1,0),IF(N($L7)&gt;=NUTRICION!$C$23,1,0)))</f>
        <v>0</v>
      </c>
      <c r="S7" s="27" t="n">
        <f aca="false">IF(COUNTA($D7:$P7)=0,0,IF($C7="AYUNO",IF(N($M7)&lt;=200,1,0),IF(AND(N($M7)&gt;=$Q7-150,N($M7)&lt;=$Q7+150),1,0)))</f>
        <v>0</v>
      </c>
      <c r="T7" s="27" t="n">
        <f aca="false">IF(COUNTA($D7:$P7)=0,0,IF(N($N7)&gt;=NUTRICION!$C$27,1,0))</f>
        <v>0</v>
      </c>
      <c r="U7" s="27" t="n">
        <f aca="false">IF(COUNTA($D7:$P7)=0,0,IF(N($O7)&gt;=NUTRICION!$C$30,1,0))</f>
        <v>0</v>
      </c>
      <c r="V7" s="27" t="n">
        <f aca="false">IF(COUNTA($D7:$P7)=0,0,IF(N($P7)&gt;=NUTRICION!$C$29,1,0))</f>
        <v>0</v>
      </c>
      <c r="W7" s="10" t="str">
        <f aca="false">IF(COUNTA($D7:$P7)=0,"",SUMPRODUCT($D$2:$K$2,$D7:$K7)+SUMPRODUCT($R$2:$V$2,$R7:$V7))</f>
        <v/>
      </c>
      <c r="X7" s="48" t="str">
        <f aca="false">IF($W7="","",$W7/100)</f>
        <v/>
      </c>
      <c r="Y7" s="14"/>
    </row>
    <row r="8" customFormat="false" ht="15" hidden="false" customHeight="false" outlineLevel="0" collapsed="false">
      <c r="A8" s="44" t="n">
        <v>46276</v>
      </c>
      <c r="B8" s="50" t="s">
        <v>785</v>
      </c>
      <c r="C8" s="39" t="s">
        <v>786</v>
      </c>
      <c r="D8" s="39"/>
      <c r="E8" s="39"/>
      <c r="F8" s="39"/>
      <c r="G8" s="39"/>
      <c r="H8" s="39"/>
      <c r="I8" s="39"/>
      <c r="J8" s="39"/>
      <c r="K8" s="39"/>
      <c r="L8" s="31"/>
      <c r="M8" s="45"/>
      <c r="N8" s="46"/>
      <c r="O8" s="31"/>
      <c r="P8" s="46"/>
      <c r="Q8" s="47" t="n">
        <f aca="false">IF($C8="AYUNO",0,IF($C8="LIGERO",NUTRICION!$C$21,NUTRICION!$C$20))</f>
        <v>0</v>
      </c>
      <c r="R8" s="27" t="n">
        <f aca="false">IF(COUNTA($D8:$P8)=0,0,IF($C8="AYUNO",IF(N($M8)&lt;=200,1,0),IF(N($L8)&gt;=NUTRICION!$C$23,1,0)))</f>
        <v>0</v>
      </c>
      <c r="S8" s="27" t="n">
        <f aca="false">IF(COUNTA($D8:$P8)=0,0,IF($C8="AYUNO",IF(N($M8)&lt;=200,1,0),IF(AND(N($M8)&gt;=$Q8-150,N($M8)&lt;=$Q8+150),1,0)))</f>
        <v>0</v>
      </c>
      <c r="T8" s="27" t="n">
        <f aca="false">IF(COUNTA($D8:$P8)=0,0,IF(N($N8)&gt;=NUTRICION!$C$27,1,0))</f>
        <v>0</v>
      </c>
      <c r="U8" s="27" t="n">
        <f aca="false">IF(COUNTA($D8:$P8)=0,0,IF(N($O8)&gt;=NUTRICION!$C$30,1,0))</f>
        <v>0</v>
      </c>
      <c r="V8" s="27" t="n">
        <f aca="false">IF(COUNTA($D8:$P8)=0,0,IF(N($P8)&gt;=NUTRICION!$C$29,1,0))</f>
        <v>0</v>
      </c>
      <c r="W8" s="10" t="str">
        <f aca="false">IF(COUNTA($D8:$P8)=0,"",SUMPRODUCT($D$2:$K$2,$D8:$K8)+SUMPRODUCT($R$2:$V$2,$R8:$V8))</f>
        <v/>
      </c>
      <c r="X8" s="48" t="str">
        <f aca="false">IF($W8="","",$W8/100)</f>
        <v/>
      </c>
      <c r="Y8" s="14"/>
    </row>
    <row r="9" customFormat="false" ht="15" hidden="false" customHeight="false" outlineLevel="0" collapsed="false">
      <c r="A9" s="44" t="n">
        <v>46277</v>
      </c>
      <c r="B9" s="51" t="s">
        <v>787</v>
      </c>
      <c r="C9" s="39" t="s">
        <v>788</v>
      </c>
      <c r="D9" s="39"/>
      <c r="E9" s="39"/>
      <c r="F9" s="39"/>
      <c r="G9" s="39"/>
      <c r="H9" s="39"/>
      <c r="I9" s="39"/>
      <c r="J9" s="39"/>
      <c r="K9" s="39"/>
      <c r="L9" s="31"/>
      <c r="M9" s="45"/>
      <c r="N9" s="46"/>
      <c r="O9" s="31"/>
      <c r="P9" s="46"/>
      <c r="Q9" s="47" t="n">
        <f aca="false">IF($C9="AYUNO",0,IF($C9="LIGERO",NUTRICION!$C$21,NUTRICION!$C$20))</f>
        <v>2450</v>
      </c>
      <c r="R9" s="27" t="n">
        <f aca="false">IF(COUNTA($D9:$P9)=0,0,IF($C9="AYUNO",IF(N($M9)&lt;=200,1,0),IF(N($L9)&gt;=NUTRICION!$C$23,1,0)))</f>
        <v>0</v>
      </c>
      <c r="S9" s="27" t="n">
        <f aca="false">IF(COUNTA($D9:$P9)=0,0,IF($C9="AYUNO",IF(N($M9)&lt;=200,1,0),IF(AND(N($M9)&gt;=$Q9-150,N($M9)&lt;=$Q9+150),1,0)))</f>
        <v>0</v>
      </c>
      <c r="T9" s="27" t="n">
        <f aca="false">IF(COUNTA($D9:$P9)=0,0,IF(N($N9)&gt;=NUTRICION!$C$27,1,0))</f>
        <v>0</v>
      </c>
      <c r="U9" s="27" t="n">
        <f aca="false">IF(COUNTA($D9:$P9)=0,0,IF(N($O9)&gt;=NUTRICION!$C$30,1,0))</f>
        <v>0</v>
      </c>
      <c r="V9" s="27" t="n">
        <f aca="false">IF(COUNTA($D9:$P9)=0,0,IF(N($P9)&gt;=NUTRICION!$C$29,1,0))</f>
        <v>0</v>
      </c>
      <c r="W9" s="10" t="str">
        <f aca="false">IF(COUNTA($D9:$P9)=0,"",SUMPRODUCT($D$2:$K$2,$D9:$K9)+SUMPRODUCT($R$2:$V$2,$R9:$V9))</f>
        <v/>
      </c>
      <c r="X9" s="48" t="str">
        <f aca="false">IF($W9="","",$W9/100)</f>
        <v/>
      </c>
      <c r="Y9" s="14"/>
    </row>
    <row r="10" customFormat="false" ht="15" hidden="false" customHeight="false" outlineLevel="0" collapsed="false">
      <c r="A10" s="44" t="n">
        <v>46278</v>
      </c>
      <c r="B10" s="51" t="s">
        <v>789</v>
      </c>
      <c r="C10" s="39" t="s">
        <v>788</v>
      </c>
      <c r="D10" s="39"/>
      <c r="E10" s="39"/>
      <c r="F10" s="39"/>
      <c r="G10" s="39"/>
      <c r="H10" s="39"/>
      <c r="I10" s="39"/>
      <c r="J10" s="39"/>
      <c r="K10" s="39"/>
      <c r="L10" s="31"/>
      <c r="M10" s="45"/>
      <c r="N10" s="46"/>
      <c r="O10" s="31"/>
      <c r="P10" s="46"/>
      <c r="Q10" s="47" t="n">
        <f aca="false">IF($C10="AYUNO",0,IF($C10="LIGERO",NUTRICION!$C$21,NUTRICION!$C$20))</f>
        <v>2450</v>
      </c>
      <c r="R10" s="27" t="n">
        <f aca="false">IF(COUNTA($D10:$P10)=0,0,IF($C10="AYUNO",IF(N($M10)&lt;=200,1,0),IF(N($L10)&gt;=NUTRICION!$C$23,1,0)))</f>
        <v>0</v>
      </c>
      <c r="S10" s="27" t="n">
        <f aca="false">IF(COUNTA($D10:$P10)=0,0,IF($C10="AYUNO",IF(N($M10)&lt;=200,1,0),IF(AND(N($M10)&gt;=$Q10-150,N($M10)&lt;=$Q10+150),1,0)))</f>
        <v>0</v>
      </c>
      <c r="T10" s="27" t="n">
        <f aca="false">IF(COUNTA($D10:$P10)=0,0,IF(N($N10)&gt;=NUTRICION!$C$27,1,0))</f>
        <v>0</v>
      </c>
      <c r="U10" s="27" t="n">
        <f aca="false">IF(COUNTA($D10:$P10)=0,0,IF(N($O10)&gt;=NUTRICION!$C$30,1,0))</f>
        <v>0</v>
      </c>
      <c r="V10" s="27" t="n">
        <f aca="false">IF(COUNTA($D10:$P10)=0,0,IF(N($P10)&gt;=NUTRICION!$C$29,1,0))</f>
        <v>0</v>
      </c>
      <c r="W10" s="10" t="str">
        <f aca="false">IF(COUNTA($D10:$P10)=0,"",SUMPRODUCT($D$2:$K$2,$D10:$K10)+SUMPRODUCT($R$2:$V$2,$R10:$V10))</f>
        <v/>
      </c>
      <c r="X10" s="48" t="str">
        <f aca="false">IF($W10="","",$W10/100)</f>
        <v/>
      </c>
      <c r="Y10" s="14"/>
    </row>
    <row r="11" customFormat="false" ht="15" hidden="false" customHeight="false" outlineLevel="0" collapsed="false">
      <c r="A11" s="44" t="n">
        <v>46279</v>
      </c>
      <c r="B11" s="27" t="s">
        <v>779</v>
      </c>
      <c r="C11" s="39" t="s">
        <v>780</v>
      </c>
      <c r="D11" s="39"/>
      <c r="E11" s="39"/>
      <c r="F11" s="39"/>
      <c r="G11" s="39"/>
      <c r="H11" s="39"/>
      <c r="I11" s="39"/>
      <c r="J11" s="39"/>
      <c r="K11" s="39"/>
      <c r="L11" s="31"/>
      <c r="M11" s="45"/>
      <c r="N11" s="46"/>
      <c r="O11" s="31"/>
      <c r="P11" s="46"/>
      <c r="Q11" s="47" t="n">
        <f aca="false">IF($C11="AYUNO",0,IF($C11="LIGERO",NUTRICION!$C$21,NUTRICION!$C$20))</f>
        <v>2750</v>
      </c>
      <c r="R11" s="27" t="n">
        <f aca="false">IF(COUNTA($D11:$P11)=0,0,IF($C11="AYUNO",IF(N($M11)&lt;=200,1,0),IF(N($L11)&gt;=NUTRICION!$C$23,1,0)))</f>
        <v>0</v>
      </c>
      <c r="S11" s="27" t="n">
        <f aca="false">IF(COUNTA($D11:$P11)=0,0,IF($C11="AYUNO",IF(N($M11)&lt;=200,1,0),IF(AND(N($M11)&gt;=$Q11-150,N($M11)&lt;=$Q11+150),1,0)))</f>
        <v>0</v>
      </c>
      <c r="T11" s="27" t="n">
        <f aca="false">IF(COUNTA($D11:$P11)=0,0,IF(N($N11)&gt;=NUTRICION!$C$27,1,0))</f>
        <v>0</v>
      </c>
      <c r="U11" s="27" t="n">
        <f aca="false">IF(COUNTA($D11:$P11)=0,0,IF(N($O11)&gt;=NUTRICION!$C$30,1,0))</f>
        <v>0</v>
      </c>
      <c r="V11" s="27" t="n">
        <f aca="false">IF(COUNTA($D11:$P11)=0,0,IF(N($P11)&gt;=NUTRICION!$C$29,1,0))</f>
        <v>0</v>
      </c>
      <c r="W11" s="10" t="str">
        <f aca="false">IF(COUNTA($D11:$P11)=0,"",SUMPRODUCT($D$2:$K$2,$D11:$K11)+SUMPRODUCT($R$2:$V$2,$R11:$V11))</f>
        <v/>
      </c>
      <c r="X11" s="48" t="str">
        <f aca="false">IF($W11="","",$W11/100)</f>
        <v/>
      </c>
      <c r="Y11" s="14"/>
    </row>
    <row r="12" customFormat="false" ht="15" hidden="false" customHeight="false" outlineLevel="0" collapsed="false">
      <c r="A12" s="44" t="n">
        <v>46280</v>
      </c>
      <c r="B12" s="27" t="s">
        <v>782</v>
      </c>
      <c r="C12" s="39" t="s">
        <v>780</v>
      </c>
      <c r="D12" s="39"/>
      <c r="E12" s="39"/>
      <c r="F12" s="39"/>
      <c r="G12" s="39"/>
      <c r="H12" s="39"/>
      <c r="I12" s="39"/>
      <c r="J12" s="39"/>
      <c r="K12" s="39"/>
      <c r="L12" s="31"/>
      <c r="M12" s="45"/>
      <c r="N12" s="46"/>
      <c r="O12" s="31"/>
      <c r="P12" s="46"/>
      <c r="Q12" s="47" t="n">
        <f aca="false">IF($C12="AYUNO",0,IF($C12="LIGERO",NUTRICION!$C$21,NUTRICION!$C$20))</f>
        <v>2750</v>
      </c>
      <c r="R12" s="27" t="n">
        <f aca="false">IF(COUNTA($D12:$P12)=0,0,IF($C12="AYUNO",IF(N($M12)&lt;=200,1,0),IF(N($L12)&gt;=NUTRICION!$C$23,1,0)))</f>
        <v>0</v>
      </c>
      <c r="S12" s="27" t="n">
        <f aca="false">IF(COUNTA($D12:$P12)=0,0,IF($C12="AYUNO",IF(N($M12)&lt;=200,1,0),IF(AND(N($M12)&gt;=$Q12-150,N($M12)&lt;=$Q12+150),1,0)))</f>
        <v>0</v>
      </c>
      <c r="T12" s="27" t="n">
        <f aca="false">IF(COUNTA($D12:$P12)=0,0,IF(N($N12)&gt;=NUTRICION!$C$27,1,0))</f>
        <v>0</v>
      </c>
      <c r="U12" s="27" t="n">
        <f aca="false">IF(COUNTA($D12:$P12)=0,0,IF(N($O12)&gt;=NUTRICION!$C$30,1,0))</f>
        <v>0</v>
      </c>
      <c r="V12" s="27" t="n">
        <f aca="false">IF(COUNTA($D12:$P12)=0,0,IF(N($P12)&gt;=NUTRICION!$C$29,1,0))</f>
        <v>0</v>
      </c>
      <c r="W12" s="10" t="str">
        <f aca="false">IF(COUNTA($D12:$P12)=0,"",SUMPRODUCT($D$2:$K$2,$D12:$K12)+SUMPRODUCT($R$2:$V$2,$R12:$V12))</f>
        <v/>
      </c>
      <c r="X12" s="48" t="str">
        <f aca="false">IF($W12="","",$W12/100)</f>
        <v/>
      </c>
      <c r="Y12" s="14"/>
    </row>
    <row r="13" customFormat="false" ht="15" hidden="false" customHeight="false" outlineLevel="0" collapsed="false">
      <c r="A13" s="44" t="n">
        <v>46281</v>
      </c>
      <c r="B13" s="27" t="s">
        <v>783</v>
      </c>
      <c r="C13" s="39" t="s">
        <v>780</v>
      </c>
      <c r="D13" s="39"/>
      <c r="E13" s="39"/>
      <c r="F13" s="39"/>
      <c r="G13" s="39"/>
      <c r="H13" s="39"/>
      <c r="I13" s="39"/>
      <c r="J13" s="39"/>
      <c r="K13" s="39"/>
      <c r="L13" s="31"/>
      <c r="M13" s="45"/>
      <c r="N13" s="46"/>
      <c r="O13" s="31"/>
      <c r="P13" s="46"/>
      <c r="Q13" s="47" t="n">
        <f aca="false">IF($C13="AYUNO",0,IF($C13="LIGERO",NUTRICION!$C$21,NUTRICION!$C$20))</f>
        <v>2750</v>
      </c>
      <c r="R13" s="27" t="n">
        <f aca="false">IF(COUNTA($D13:$P13)=0,0,IF($C13="AYUNO",IF(N($M13)&lt;=200,1,0),IF(N($L13)&gt;=NUTRICION!$C$23,1,0)))</f>
        <v>0</v>
      </c>
      <c r="S13" s="27" t="n">
        <f aca="false">IF(COUNTA($D13:$P13)=0,0,IF($C13="AYUNO",IF(N($M13)&lt;=200,1,0),IF(AND(N($M13)&gt;=$Q13-150,N($M13)&lt;=$Q13+150),1,0)))</f>
        <v>0</v>
      </c>
      <c r="T13" s="27" t="n">
        <f aca="false">IF(COUNTA($D13:$P13)=0,0,IF(N($N13)&gt;=NUTRICION!$C$27,1,0))</f>
        <v>0</v>
      </c>
      <c r="U13" s="27" t="n">
        <f aca="false">IF(COUNTA($D13:$P13)=0,0,IF(N($O13)&gt;=NUTRICION!$C$30,1,0))</f>
        <v>0</v>
      </c>
      <c r="V13" s="27" t="n">
        <f aca="false">IF(COUNTA($D13:$P13)=0,0,IF(N($P13)&gt;=NUTRICION!$C$29,1,0))</f>
        <v>0</v>
      </c>
      <c r="W13" s="10" t="str">
        <f aca="false">IF(COUNTA($D13:$P13)=0,"",SUMPRODUCT($D$2:$K$2,$D13:$K13)+SUMPRODUCT($R$2:$V$2,$R13:$V13))</f>
        <v/>
      </c>
      <c r="X13" s="48" t="str">
        <f aca="false">IF($W13="","",$W13/100)</f>
        <v/>
      </c>
      <c r="Y13" s="14"/>
    </row>
    <row r="14" customFormat="false" ht="15" hidden="false" customHeight="false" outlineLevel="0" collapsed="false">
      <c r="A14" s="44" t="n">
        <v>46282</v>
      </c>
      <c r="B14" s="27" t="s">
        <v>784</v>
      </c>
      <c r="C14" s="39" t="s">
        <v>780</v>
      </c>
      <c r="D14" s="39"/>
      <c r="E14" s="39"/>
      <c r="F14" s="39"/>
      <c r="G14" s="39"/>
      <c r="H14" s="39"/>
      <c r="I14" s="39"/>
      <c r="J14" s="39"/>
      <c r="K14" s="39"/>
      <c r="L14" s="31"/>
      <c r="M14" s="45"/>
      <c r="N14" s="46"/>
      <c r="O14" s="31"/>
      <c r="P14" s="46"/>
      <c r="Q14" s="47" t="n">
        <f aca="false">IF($C14="AYUNO",0,IF($C14="LIGERO",NUTRICION!$C$21,NUTRICION!$C$20))</f>
        <v>2750</v>
      </c>
      <c r="R14" s="27" t="n">
        <f aca="false">IF(COUNTA($D14:$P14)=0,0,IF($C14="AYUNO",IF(N($M14)&lt;=200,1,0),IF(N($L14)&gt;=NUTRICION!$C$23,1,0)))</f>
        <v>0</v>
      </c>
      <c r="S14" s="27" t="n">
        <f aca="false">IF(COUNTA($D14:$P14)=0,0,IF($C14="AYUNO",IF(N($M14)&lt;=200,1,0),IF(AND(N($M14)&gt;=$Q14-150,N($M14)&lt;=$Q14+150),1,0)))</f>
        <v>0</v>
      </c>
      <c r="T14" s="27" t="n">
        <f aca="false">IF(COUNTA($D14:$P14)=0,0,IF(N($N14)&gt;=NUTRICION!$C$27,1,0))</f>
        <v>0</v>
      </c>
      <c r="U14" s="27" t="n">
        <f aca="false">IF(COUNTA($D14:$P14)=0,0,IF(N($O14)&gt;=NUTRICION!$C$30,1,0))</f>
        <v>0</v>
      </c>
      <c r="V14" s="27" t="n">
        <f aca="false">IF(COUNTA($D14:$P14)=0,0,IF(N($P14)&gt;=NUTRICION!$C$29,1,0))</f>
        <v>0</v>
      </c>
      <c r="W14" s="10" t="str">
        <f aca="false">IF(COUNTA($D14:$P14)=0,"",SUMPRODUCT($D$2:$K$2,$D14:$K14)+SUMPRODUCT($R$2:$V$2,$R14:$V14))</f>
        <v/>
      </c>
      <c r="X14" s="48" t="str">
        <f aca="false">IF($W14="","",$W14/100)</f>
        <v/>
      </c>
      <c r="Y14" s="14"/>
    </row>
    <row r="15" customFormat="false" ht="15" hidden="false" customHeight="false" outlineLevel="0" collapsed="false">
      <c r="A15" s="44" t="n">
        <v>46283</v>
      </c>
      <c r="B15" s="50" t="s">
        <v>785</v>
      </c>
      <c r="C15" s="39" t="s">
        <v>786</v>
      </c>
      <c r="D15" s="39"/>
      <c r="E15" s="39"/>
      <c r="F15" s="39"/>
      <c r="G15" s="39"/>
      <c r="H15" s="39"/>
      <c r="I15" s="39"/>
      <c r="J15" s="39"/>
      <c r="K15" s="39"/>
      <c r="L15" s="31"/>
      <c r="M15" s="45"/>
      <c r="N15" s="46"/>
      <c r="O15" s="31"/>
      <c r="P15" s="46"/>
      <c r="Q15" s="47" t="n">
        <f aca="false">IF($C15="AYUNO",0,IF($C15="LIGERO",NUTRICION!$C$21,NUTRICION!$C$20))</f>
        <v>0</v>
      </c>
      <c r="R15" s="27" t="n">
        <f aca="false">IF(COUNTA($D15:$P15)=0,0,IF($C15="AYUNO",IF(N($M15)&lt;=200,1,0),IF(N($L15)&gt;=NUTRICION!$C$23,1,0)))</f>
        <v>0</v>
      </c>
      <c r="S15" s="27" t="n">
        <f aca="false">IF(COUNTA($D15:$P15)=0,0,IF($C15="AYUNO",IF(N($M15)&lt;=200,1,0),IF(AND(N($M15)&gt;=$Q15-150,N($M15)&lt;=$Q15+150),1,0)))</f>
        <v>0</v>
      </c>
      <c r="T15" s="27" t="n">
        <f aca="false">IF(COUNTA($D15:$P15)=0,0,IF(N($N15)&gt;=NUTRICION!$C$27,1,0))</f>
        <v>0</v>
      </c>
      <c r="U15" s="27" t="n">
        <f aca="false">IF(COUNTA($D15:$P15)=0,0,IF(N($O15)&gt;=NUTRICION!$C$30,1,0))</f>
        <v>0</v>
      </c>
      <c r="V15" s="27" t="n">
        <f aca="false">IF(COUNTA($D15:$P15)=0,0,IF(N($P15)&gt;=NUTRICION!$C$29,1,0))</f>
        <v>0</v>
      </c>
      <c r="W15" s="10" t="str">
        <f aca="false">IF(COUNTA($D15:$P15)=0,"",SUMPRODUCT($D$2:$K$2,$D15:$K15)+SUMPRODUCT($R$2:$V$2,$R15:$V15))</f>
        <v/>
      </c>
      <c r="X15" s="48" t="str">
        <f aca="false">IF($W15="","",$W15/100)</f>
        <v/>
      </c>
      <c r="Y15" s="14"/>
    </row>
    <row r="16" customFormat="false" ht="15" hidden="false" customHeight="false" outlineLevel="0" collapsed="false">
      <c r="A16" s="44" t="n">
        <v>46284</v>
      </c>
      <c r="B16" s="51" t="s">
        <v>787</v>
      </c>
      <c r="C16" s="39" t="s">
        <v>788</v>
      </c>
      <c r="D16" s="39"/>
      <c r="E16" s="39"/>
      <c r="F16" s="39"/>
      <c r="G16" s="39"/>
      <c r="H16" s="39"/>
      <c r="I16" s="39"/>
      <c r="J16" s="39"/>
      <c r="K16" s="39"/>
      <c r="L16" s="31"/>
      <c r="M16" s="45"/>
      <c r="N16" s="46"/>
      <c r="O16" s="31"/>
      <c r="P16" s="46"/>
      <c r="Q16" s="47" t="n">
        <f aca="false">IF($C16="AYUNO",0,IF($C16="LIGERO",NUTRICION!$C$21,NUTRICION!$C$20))</f>
        <v>2450</v>
      </c>
      <c r="R16" s="27" t="n">
        <f aca="false">IF(COUNTA($D16:$P16)=0,0,IF($C16="AYUNO",IF(N($M16)&lt;=200,1,0),IF(N($L16)&gt;=NUTRICION!$C$23,1,0)))</f>
        <v>0</v>
      </c>
      <c r="S16" s="27" t="n">
        <f aca="false">IF(COUNTA($D16:$P16)=0,0,IF($C16="AYUNO",IF(N($M16)&lt;=200,1,0),IF(AND(N($M16)&gt;=$Q16-150,N($M16)&lt;=$Q16+150),1,0)))</f>
        <v>0</v>
      </c>
      <c r="T16" s="27" t="n">
        <f aca="false">IF(COUNTA($D16:$P16)=0,0,IF(N($N16)&gt;=NUTRICION!$C$27,1,0))</f>
        <v>0</v>
      </c>
      <c r="U16" s="27" t="n">
        <f aca="false">IF(COUNTA($D16:$P16)=0,0,IF(N($O16)&gt;=NUTRICION!$C$30,1,0))</f>
        <v>0</v>
      </c>
      <c r="V16" s="27" t="n">
        <f aca="false">IF(COUNTA($D16:$P16)=0,0,IF(N($P16)&gt;=NUTRICION!$C$29,1,0))</f>
        <v>0</v>
      </c>
      <c r="W16" s="10" t="str">
        <f aca="false">IF(COUNTA($D16:$P16)=0,"",SUMPRODUCT($D$2:$K$2,$D16:$K16)+SUMPRODUCT($R$2:$V$2,$R16:$V16))</f>
        <v/>
      </c>
      <c r="X16" s="48" t="str">
        <f aca="false">IF($W16="","",$W16/100)</f>
        <v/>
      </c>
      <c r="Y16" s="14"/>
    </row>
    <row r="17" customFormat="false" ht="15" hidden="false" customHeight="false" outlineLevel="0" collapsed="false">
      <c r="A17" s="44" t="n">
        <v>46285</v>
      </c>
      <c r="B17" s="51" t="s">
        <v>789</v>
      </c>
      <c r="C17" s="39" t="s">
        <v>788</v>
      </c>
      <c r="D17" s="39"/>
      <c r="E17" s="39"/>
      <c r="F17" s="39"/>
      <c r="G17" s="39"/>
      <c r="H17" s="39"/>
      <c r="I17" s="39"/>
      <c r="J17" s="39"/>
      <c r="K17" s="39"/>
      <c r="L17" s="31"/>
      <c r="M17" s="45"/>
      <c r="N17" s="46"/>
      <c r="O17" s="31"/>
      <c r="P17" s="46"/>
      <c r="Q17" s="47" t="n">
        <f aca="false">IF($C17="AYUNO",0,IF($C17="LIGERO",NUTRICION!$C$21,NUTRICION!$C$20))</f>
        <v>2450</v>
      </c>
      <c r="R17" s="27" t="n">
        <f aca="false">IF(COUNTA($D17:$P17)=0,0,IF($C17="AYUNO",IF(N($M17)&lt;=200,1,0),IF(N($L17)&gt;=NUTRICION!$C$23,1,0)))</f>
        <v>0</v>
      </c>
      <c r="S17" s="27" t="n">
        <f aca="false">IF(COUNTA($D17:$P17)=0,0,IF($C17="AYUNO",IF(N($M17)&lt;=200,1,0),IF(AND(N($M17)&gt;=$Q17-150,N($M17)&lt;=$Q17+150),1,0)))</f>
        <v>0</v>
      </c>
      <c r="T17" s="27" t="n">
        <f aca="false">IF(COUNTA($D17:$P17)=0,0,IF(N($N17)&gt;=NUTRICION!$C$27,1,0))</f>
        <v>0</v>
      </c>
      <c r="U17" s="27" t="n">
        <f aca="false">IF(COUNTA($D17:$P17)=0,0,IF(N($O17)&gt;=NUTRICION!$C$30,1,0))</f>
        <v>0</v>
      </c>
      <c r="V17" s="27" t="n">
        <f aca="false">IF(COUNTA($D17:$P17)=0,0,IF(N($P17)&gt;=NUTRICION!$C$29,1,0))</f>
        <v>0</v>
      </c>
      <c r="W17" s="10" t="str">
        <f aca="false">IF(COUNTA($D17:$P17)=0,"",SUMPRODUCT($D$2:$K$2,$D17:$K17)+SUMPRODUCT($R$2:$V$2,$R17:$V17))</f>
        <v/>
      </c>
      <c r="X17" s="48" t="str">
        <f aca="false">IF($W17="","",$W17/100)</f>
        <v/>
      </c>
      <c r="Y17" s="14"/>
    </row>
    <row r="18" customFormat="false" ht="15" hidden="false" customHeight="false" outlineLevel="0" collapsed="false">
      <c r="A18" s="44" t="n">
        <v>46286</v>
      </c>
      <c r="B18" s="27" t="s">
        <v>779</v>
      </c>
      <c r="C18" s="39" t="s">
        <v>780</v>
      </c>
      <c r="D18" s="39"/>
      <c r="E18" s="39"/>
      <c r="F18" s="39"/>
      <c r="G18" s="39"/>
      <c r="H18" s="39"/>
      <c r="I18" s="39"/>
      <c r="J18" s="39"/>
      <c r="K18" s="39"/>
      <c r="L18" s="31"/>
      <c r="M18" s="45"/>
      <c r="N18" s="46"/>
      <c r="O18" s="31"/>
      <c r="P18" s="46"/>
      <c r="Q18" s="47" t="n">
        <f aca="false">IF($C18="AYUNO",0,IF($C18="LIGERO",NUTRICION!$C$21,NUTRICION!$C$20))</f>
        <v>2750</v>
      </c>
      <c r="R18" s="27" t="n">
        <f aca="false">IF(COUNTA($D18:$P18)=0,0,IF($C18="AYUNO",IF(N($M18)&lt;=200,1,0),IF(N($L18)&gt;=NUTRICION!$C$23,1,0)))</f>
        <v>0</v>
      </c>
      <c r="S18" s="27" t="n">
        <f aca="false">IF(COUNTA($D18:$P18)=0,0,IF($C18="AYUNO",IF(N($M18)&lt;=200,1,0),IF(AND(N($M18)&gt;=$Q18-150,N($M18)&lt;=$Q18+150),1,0)))</f>
        <v>0</v>
      </c>
      <c r="T18" s="27" t="n">
        <f aca="false">IF(COUNTA($D18:$P18)=0,0,IF(N($N18)&gt;=NUTRICION!$C$27,1,0))</f>
        <v>0</v>
      </c>
      <c r="U18" s="27" t="n">
        <f aca="false">IF(COUNTA($D18:$P18)=0,0,IF(N($O18)&gt;=NUTRICION!$C$30,1,0))</f>
        <v>0</v>
      </c>
      <c r="V18" s="27" t="n">
        <f aca="false">IF(COUNTA($D18:$P18)=0,0,IF(N($P18)&gt;=NUTRICION!$C$29,1,0))</f>
        <v>0</v>
      </c>
      <c r="W18" s="10" t="str">
        <f aca="false">IF(COUNTA($D18:$P18)=0,"",SUMPRODUCT($D$2:$K$2,$D18:$K18)+SUMPRODUCT($R$2:$V$2,$R18:$V18))</f>
        <v/>
      </c>
      <c r="X18" s="48" t="str">
        <f aca="false">IF($W18="","",$W18/100)</f>
        <v/>
      </c>
      <c r="Y18" s="14"/>
    </row>
    <row r="19" customFormat="false" ht="15" hidden="false" customHeight="false" outlineLevel="0" collapsed="false">
      <c r="A19" s="44" t="n">
        <v>46287</v>
      </c>
      <c r="B19" s="27" t="s">
        <v>782</v>
      </c>
      <c r="C19" s="39" t="s">
        <v>780</v>
      </c>
      <c r="D19" s="39"/>
      <c r="E19" s="39"/>
      <c r="F19" s="39"/>
      <c r="G19" s="39"/>
      <c r="H19" s="39"/>
      <c r="I19" s="39"/>
      <c r="J19" s="39"/>
      <c r="K19" s="39"/>
      <c r="L19" s="31"/>
      <c r="M19" s="45"/>
      <c r="N19" s="46"/>
      <c r="O19" s="31"/>
      <c r="P19" s="46"/>
      <c r="Q19" s="47" t="n">
        <f aca="false">IF($C19="AYUNO",0,IF($C19="LIGERO",NUTRICION!$C$21,NUTRICION!$C$20))</f>
        <v>2750</v>
      </c>
      <c r="R19" s="27" t="n">
        <f aca="false">IF(COUNTA($D19:$P19)=0,0,IF($C19="AYUNO",IF(N($M19)&lt;=200,1,0),IF(N($L19)&gt;=NUTRICION!$C$23,1,0)))</f>
        <v>0</v>
      </c>
      <c r="S19" s="27" t="n">
        <f aca="false">IF(COUNTA($D19:$P19)=0,0,IF($C19="AYUNO",IF(N($M19)&lt;=200,1,0),IF(AND(N($M19)&gt;=$Q19-150,N($M19)&lt;=$Q19+150),1,0)))</f>
        <v>0</v>
      </c>
      <c r="T19" s="27" t="n">
        <f aca="false">IF(COUNTA($D19:$P19)=0,0,IF(N($N19)&gt;=NUTRICION!$C$27,1,0))</f>
        <v>0</v>
      </c>
      <c r="U19" s="27" t="n">
        <f aca="false">IF(COUNTA($D19:$P19)=0,0,IF(N($O19)&gt;=NUTRICION!$C$30,1,0))</f>
        <v>0</v>
      </c>
      <c r="V19" s="27" t="n">
        <f aca="false">IF(COUNTA($D19:$P19)=0,0,IF(N($P19)&gt;=NUTRICION!$C$29,1,0))</f>
        <v>0</v>
      </c>
      <c r="W19" s="10" t="str">
        <f aca="false">IF(COUNTA($D19:$P19)=0,"",SUMPRODUCT($D$2:$K$2,$D19:$K19)+SUMPRODUCT($R$2:$V$2,$R19:$V19))</f>
        <v/>
      </c>
      <c r="X19" s="48" t="str">
        <f aca="false">IF($W19="","",$W19/100)</f>
        <v/>
      </c>
      <c r="Y19" s="14"/>
    </row>
    <row r="20" customFormat="false" ht="15" hidden="false" customHeight="false" outlineLevel="0" collapsed="false">
      <c r="A20" s="44" t="n">
        <v>46288</v>
      </c>
      <c r="B20" s="27" t="s">
        <v>783</v>
      </c>
      <c r="C20" s="39" t="s">
        <v>780</v>
      </c>
      <c r="D20" s="39"/>
      <c r="E20" s="39"/>
      <c r="F20" s="39"/>
      <c r="G20" s="39"/>
      <c r="H20" s="39"/>
      <c r="I20" s="39"/>
      <c r="J20" s="39"/>
      <c r="K20" s="39"/>
      <c r="L20" s="31"/>
      <c r="M20" s="45"/>
      <c r="N20" s="46"/>
      <c r="O20" s="31"/>
      <c r="P20" s="46"/>
      <c r="Q20" s="47" t="n">
        <f aca="false">IF($C20="AYUNO",0,IF($C20="LIGERO",NUTRICION!$C$21,NUTRICION!$C$20))</f>
        <v>2750</v>
      </c>
      <c r="R20" s="27" t="n">
        <f aca="false">IF(COUNTA($D20:$P20)=0,0,IF($C20="AYUNO",IF(N($M20)&lt;=200,1,0),IF(N($L20)&gt;=NUTRICION!$C$23,1,0)))</f>
        <v>0</v>
      </c>
      <c r="S20" s="27" t="n">
        <f aca="false">IF(COUNTA($D20:$P20)=0,0,IF($C20="AYUNO",IF(N($M20)&lt;=200,1,0),IF(AND(N($M20)&gt;=$Q20-150,N($M20)&lt;=$Q20+150),1,0)))</f>
        <v>0</v>
      </c>
      <c r="T20" s="27" t="n">
        <f aca="false">IF(COUNTA($D20:$P20)=0,0,IF(N($N20)&gt;=NUTRICION!$C$27,1,0))</f>
        <v>0</v>
      </c>
      <c r="U20" s="27" t="n">
        <f aca="false">IF(COUNTA($D20:$P20)=0,0,IF(N($O20)&gt;=NUTRICION!$C$30,1,0))</f>
        <v>0</v>
      </c>
      <c r="V20" s="27" t="n">
        <f aca="false">IF(COUNTA($D20:$P20)=0,0,IF(N($P20)&gt;=NUTRICION!$C$29,1,0))</f>
        <v>0</v>
      </c>
      <c r="W20" s="10" t="str">
        <f aca="false">IF(COUNTA($D20:$P20)=0,"",SUMPRODUCT($D$2:$K$2,$D20:$K20)+SUMPRODUCT($R$2:$V$2,$R20:$V20))</f>
        <v/>
      </c>
      <c r="X20" s="48" t="str">
        <f aca="false">IF($W20="","",$W20/100)</f>
        <v/>
      </c>
      <c r="Y20" s="14"/>
    </row>
    <row r="21" customFormat="false" ht="15" hidden="false" customHeight="false" outlineLevel="0" collapsed="false">
      <c r="A21" s="44" t="n">
        <v>46289</v>
      </c>
      <c r="B21" s="27" t="s">
        <v>784</v>
      </c>
      <c r="C21" s="39" t="s">
        <v>780</v>
      </c>
      <c r="D21" s="39"/>
      <c r="E21" s="39"/>
      <c r="F21" s="39"/>
      <c r="G21" s="39"/>
      <c r="H21" s="39"/>
      <c r="I21" s="39"/>
      <c r="J21" s="39"/>
      <c r="K21" s="39"/>
      <c r="L21" s="31"/>
      <c r="M21" s="45"/>
      <c r="N21" s="46"/>
      <c r="O21" s="31"/>
      <c r="P21" s="46"/>
      <c r="Q21" s="47" t="n">
        <f aca="false">IF($C21="AYUNO",0,IF($C21="LIGERO",NUTRICION!$C$21,NUTRICION!$C$20))</f>
        <v>2750</v>
      </c>
      <c r="R21" s="27" t="n">
        <f aca="false">IF(COUNTA($D21:$P21)=0,0,IF($C21="AYUNO",IF(N($M21)&lt;=200,1,0),IF(N($L21)&gt;=NUTRICION!$C$23,1,0)))</f>
        <v>0</v>
      </c>
      <c r="S21" s="27" t="n">
        <f aca="false">IF(COUNTA($D21:$P21)=0,0,IF($C21="AYUNO",IF(N($M21)&lt;=200,1,0),IF(AND(N($M21)&gt;=$Q21-150,N($M21)&lt;=$Q21+150),1,0)))</f>
        <v>0</v>
      </c>
      <c r="T21" s="27" t="n">
        <f aca="false">IF(COUNTA($D21:$P21)=0,0,IF(N($N21)&gt;=NUTRICION!$C$27,1,0))</f>
        <v>0</v>
      </c>
      <c r="U21" s="27" t="n">
        <f aca="false">IF(COUNTA($D21:$P21)=0,0,IF(N($O21)&gt;=NUTRICION!$C$30,1,0))</f>
        <v>0</v>
      </c>
      <c r="V21" s="27" t="n">
        <f aca="false">IF(COUNTA($D21:$P21)=0,0,IF(N($P21)&gt;=NUTRICION!$C$29,1,0))</f>
        <v>0</v>
      </c>
      <c r="W21" s="10" t="str">
        <f aca="false">IF(COUNTA($D21:$P21)=0,"",SUMPRODUCT($D$2:$K$2,$D21:$K21)+SUMPRODUCT($R$2:$V$2,$R21:$V21))</f>
        <v/>
      </c>
      <c r="X21" s="48" t="str">
        <f aca="false">IF($W21="","",$W21/100)</f>
        <v/>
      </c>
      <c r="Y21" s="14"/>
    </row>
    <row r="22" customFormat="false" ht="15" hidden="false" customHeight="false" outlineLevel="0" collapsed="false">
      <c r="A22" s="44" t="n">
        <v>46290</v>
      </c>
      <c r="B22" s="50" t="s">
        <v>785</v>
      </c>
      <c r="C22" s="39" t="s">
        <v>786</v>
      </c>
      <c r="D22" s="39"/>
      <c r="E22" s="39"/>
      <c r="F22" s="39"/>
      <c r="G22" s="39"/>
      <c r="H22" s="39"/>
      <c r="I22" s="39"/>
      <c r="J22" s="39"/>
      <c r="K22" s="39"/>
      <c r="L22" s="31"/>
      <c r="M22" s="45"/>
      <c r="N22" s="46"/>
      <c r="O22" s="31"/>
      <c r="P22" s="46"/>
      <c r="Q22" s="47" t="n">
        <f aca="false">IF($C22="AYUNO",0,IF($C22="LIGERO",NUTRICION!$C$21,NUTRICION!$C$20))</f>
        <v>0</v>
      </c>
      <c r="R22" s="27" t="n">
        <f aca="false">IF(COUNTA($D22:$P22)=0,0,IF($C22="AYUNO",IF(N($M22)&lt;=200,1,0),IF(N($L22)&gt;=NUTRICION!$C$23,1,0)))</f>
        <v>0</v>
      </c>
      <c r="S22" s="27" t="n">
        <f aca="false">IF(COUNTA($D22:$P22)=0,0,IF($C22="AYUNO",IF(N($M22)&lt;=200,1,0),IF(AND(N($M22)&gt;=$Q22-150,N($M22)&lt;=$Q22+150),1,0)))</f>
        <v>0</v>
      </c>
      <c r="T22" s="27" t="n">
        <f aca="false">IF(COUNTA($D22:$P22)=0,0,IF(N($N22)&gt;=NUTRICION!$C$27,1,0))</f>
        <v>0</v>
      </c>
      <c r="U22" s="27" t="n">
        <f aca="false">IF(COUNTA($D22:$P22)=0,0,IF(N($O22)&gt;=NUTRICION!$C$30,1,0))</f>
        <v>0</v>
      </c>
      <c r="V22" s="27" t="n">
        <f aca="false">IF(COUNTA($D22:$P22)=0,0,IF(N($P22)&gt;=NUTRICION!$C$29,1,0))</f>
        <v>0</v>
      </c>
      <c r="W22" s="10" t="str">
        <f aca="false">IF(COUNTA($D22:$P22)=0,"",SUMPRODUCT($D$2:$K$2,$D22:$K22)+SUMPRODUCT($R$2:$V$2,$R22:$V22))</f>
        <v/>
      </c>
      <c r="X22" s="48" t="str">
        <f aca="false">IF($W22="","",$W22/100)</f>
        <v/>
      </c>
      <c r="Y22" s="14"/>
    </row>
    <row r="23" customFormat="false" ht="15" hidden="false" customHeight="false" outlineLevel="0" collapsed="false">
      <c r="A23" s="44" t="n">
        <v>46291</v>
      </c>
      <c r="B23" s="51" t="s">
        <v>787</v>
      </c>
      <c r="C23" s="39" t="s">
        <v>788</v>
      </c>
      <c r="D23" s="39"/>
      <c r="E23" s="39"/>
      <c r="F23" s="39"/>
      <c r="G23" s="39"/>
      <c r="H23" s="39"/>
      <c r="I23" s="39"/>
      <c r="J23" s="39"/>
      <c r="K23" s="39"/>
      <c r="L23" s="31"/>
      <c r="M23" s="45"/>
      <c r="N23" s="46"/>
      <c r="O23" s="31"/>
      <c r="P23" s="46"/>
      <c r="Q23" s="47" t="n">
        <f aca="false">IF($C23="AYUNO",0,IF($C23="LIGERO",NUTRICION!$C$21,NUTRICION!$C$20))</f>
        <v>2450</v>
      </c>
      <c r="R23" s="27" t="n">
        <f aca="false">IF(COUNTA($D23:$P23)=0,0,IF($C23="AYUNO",IF(N($M23)&lt;=200,1,0),IF(N($L23)&gt;=NUTRICION!$C$23,1,0)))</f>
        <v>0</v>
      </c>
      <c r="S23" s="27" t="n">
        <f aca="false">IF(COUNTA($D23:$P23)=0,0,IF($C23="AYUNO",IF(N($M23)&lt;=200,1,0),IF(AND(N($M23)&gt;=$Q23-150,N($M23)&lt;=$Q23+150),1,0)))</f>
        <v>0</v>
      </c>
      <c r="T23" s="27" t="n">
        <f aca="false">IF(COUNTA($D23:$P23)=0,0,IF(N($N23)&gt;=NUTRICION!$C$27,1,0))</f>
        <v>0</v>
      </c>
      <c r="U23" s="27" t="n">
        <f aca="false">IF(COUNTA($D23:$P23)=0,0,IF(N($O23)&gt;=NUTRICION!$C$30,1,0))</f>
        <v>0</v>
      </c>
      <c r="V23" s="27" t="n">
        <f aca="false">IF(COUNTA($D23:$P23)=0,0,IF(N($P23)&gt;=NUTRICION!$C$29,1,0))</f>
        <v>0</v>
      </c>
      <c r="W23" s="10" t="str">
        <f aca="false">IF(COUNTA($D23:$P23)=0,"",SUMPRODUCT($D$2:$K$2,$D23:$K23)+SUMPRODUCT($R$2:$V$2,$R23:$V23))</f>
        <v/>
      </c>
      <c r="X23" s="48" t="str">
        <f aca="false">IF($W23="","",$W23/100)</f>
        <v/>
      </c>
      <c r="Y23" s="14"/>
    </row>
    <row r="24" customFormat="false" ht="15" hidden="false" customHeight="false" outlineLevel="0" collapsed="false">
      <c r="A24" s="44" t="n">
        <v>46292</v>
      </c>
      <c r="B24" s="51" t="s">
        <v>789</v>
      </c>
      <c r="C24" s="39" t="s">
        <v>788</v>
      </c>
      <c r="D24" s="39"/>
      <c r="E24" s="39"/>
      <c r="F24" s="39"/>
      <c r="G24" s="39"/>
      <c r="H24" s="39"/>
      <c r="I24" s="39"/>
      <c r="J24" s="39"/>
      <c r="K24" s="39"/>
      <c r="L24" s="31"/>
      <c r="M24" s="45"/>
      <c r="N24" s="46"/>
      <c r="O24" s="31"/>
      <c r="P24" s="46"/>
      <c r="Q24" s="47" t="n">
        <f aca="false">IF($C24="AYUNO",0,IF($C24="LIGERO",NUTRICION!$C$21,NUTRICION!$C$20))</f>
        <v>2450</v>
      </c>
      <c r="R24" s="27" t="n">
        <f aca="false">IF(COUNTA($D24:$P24)=0,0,IF($C24="AYUNO",IF(N($M24)&lt;=200,1,0),IF(N($L24)&gt;=NUTRICION!$C$23,1,0)))</f>
        <v>0</v>
      </c>
      <c r="S24" s="27" t="n">
        <f aca="false">IF(COUNTA($D24:$P24)=0,0,IF($C24="AYUNO",IF(N($M24)&lt;=200,1,0),IF(AND(N($M24)&gt;=$Q24-150,N($M24)&lt;=$Q24+150),1,0)))</f>
        <v>0</v>
      </c>
      <c r="T24" s="27" t="n">
        <f aca="false">IF(COUNTA($D24:$P24)=0,0,IF(N($N24)&gt;=NUTRICION!$C$27,1,0))</f>
        <v>0</v>
      </c>
      <c r="U24" s="27" t="n">
        <f aca="false">IF(COUNTA($D24:$P24)=0,0,IF(N($O24)&gt;=NUTRICION!$C$30,1,0))</f>
        <v>0</v>
      </c>
      <c r="V24" s="27" t="n">
        <f aca="false">IF(COUNTA($D24:$P24)=0,0,IF(N($P24)&gt;=NUTRICION!$C$29,1,0))</f>
        <v>0</v>
      </c>
      <c r="W24" s="10" t="str">
        <f aca="false">IF(COUNTA($D24:$P24)=0,"",SUMPRODUCT($D$2:$K$2,$D24:$K24)+SUMPRODUCT($R$2:$V$2,$R24:$V24))</f>
        <v/>
      </c>
      <c r="X24" s="48" t="str">
        <f aca="false">IF($W24="","",$W24/100)</f>
        <v/>
      </c>
      <c r="Y24" s="14"/>
    </row>
    <row r="25" customFormat="false" ht="15" hidden="false" customHeight="false" outlineLevel="0" collapsed="false">
      <c r="A25" s="44" t="n">
        <v>46293</v>
      </c>
      <c r="B25" s="27" t="s">
        <v>779</v>
      </c>
      <c r="C25" s="39" t="s">
        <v>780</v>
      </c>
      <c r="D25" s="39"/>
      <c r="E25" s="39"/>
      <c r="F25" s="39"/>
      <c r="G25" s="39"/>
      <c r="H25" s="39"/>
      <c r="I25" s="39"/>
      <c r="J25" s="39"/>
      <c r="K25" s="39"/>
      <c r="L25" s="31"/>
      <c r="M25" s="45"/>
      <c r="N25" s="46"/>
      <c r="O25" s="31"/>
      <c r="P25" s="46"/>
      <c r="Q25" s="47" t="n">
        <f aca="false">IF($C25="AYUNO",0,IF($C25="LIGERO",NUTRICION!$C$21,NUTRICION!$C$20))</f>
        <v>2750</v>
      </c>
      <c r="R25" s="27" t="n">
        <f aca="false">IF(COUNTA($D25:$P25)=0,0,IF($C25="AYUNO",IF(N($M25)&lt;=200,1,0),IF(N($L25)&gt;=NUTRICION!$C$23,1,0)))</f>
        <v>0</v>
      </c>
      <c r="S25" s="27" t="n">
        <f aca="false">IF(COUNTA($D25:$P25)=0,0,IF($C25="AYUNO",IF(N($M25)&lt;=200,1,0),IF(AND(N($M25)&gt;=$Q25-150,N($M25)&lt;=$Q25+150),1,0)))</f>
        <v>0</v>
      </c>
      <c r="T25" s="27" t="n">
        <f aca="false">IF(COUNTA($D25:$P25)=0,0,IF(N($N25)&gt;=NUTRICION!$C$27,1,0))</f>
        <v>0</v>
      </c>
      <c r="U25" s="27" t="n">
        <f aca="false">IF(COUNTA($D25:$P25)=0,0,IF(N($O25)&gt;=NUTRICION!$C$30,1,0))</f>
        <v>0</v>
      </c>
      <c r="V25" s="27" t="n">
        <f aca="false">IF(COUNTA($D25:$P25)=0,0,IF(N($P25)&gt;=NUTRICION!$C$29,1,0))</f>
        <v>0</v>
      </c>
      <c r="W25" s="10" t="str">
        <f aca="false">IF(COUNTA($D25:$P25)=0,"",SUMPRODUCT($D$2:$K$2,$D25:$K25)+SUMPRODUCT($R$2:$V$2,$R25:$V25))</f>
        <v/>
      </c>
      <c r="X25" s="48" t="str">
        <f aca="false">IF($W25="","",$W25/100)</f>
        <v/>
      </c>
      <c r="Y25" s="14"/>
    </row>
    <row r="26" customFormat="false" ht="15" hidden="false" customHeight="false" outlineLevel="0" collapsed="false">
      <c r="A26" s="44" t="n">
        <v>46294</v>
      </c>
      <c r="B26" s="27" t="s">
        <v>782</v>
      </c>
      <c r="C26" s="39" t="s">
        <v>780</v>
      </c>
      <c r="D26" s="39"/>
      <c r="E26" s="39"/>
      <c r="F26" s="39"/>
      <c r="G26" s="39"/>
      <c r="H26" s="39"/>
      <c r="I26" s="39"/>
      <c r="J26" s="39"/>
      <c r="K26" s="39"/>
      <c r="L26" s="31"/>
      <c r="M26" s="45"/>
      <c r="N26" s="46"/>
      <c r="O26" s="31"/>
      <c r="P26" s="46"/>
      <c r="Q26" s="47" t="n">
        <f aca="false">IF($C26="AYUNO",0,IF($C26="LIGERO",NUTRICION!$C$21,NUTRICION!$C$20))</f>
        <v>2750</v>
      </c>
      <c r="R26" s="27" t="n">
        <f aca="false">IF(COUNTA($D26:$P26)=0,0,IF($C26="AYUNO",IF(N($M26)&lt;=200,1,0),IF(N($L26)&gt;=NUTRICION!$C$23,1,0)))</f>
        <v>0</v>
      </c>
      <c r="S26" s="27" t="n">
        <f aca="false">IF(COUNTA($D26:$P26)=0,0,IF($C26="AYUNO",IF(N($M26)&lt;=200,1,0),IF(AND(N($M26)&gt;=$Q26-150,N($M26)&lt;=$Q26+150),1,0)))</f>
        <v>0</v>
      </c>
      <c r="T26" s="27" t="n">
        <f aca="false">IF(COUNTA($D26:$P26)=0,0,IF(N($N26)&gt;=NUTRICION!$C$27,1,0))</f>
        <v>0</v>
      </c>
      <c r="U26" s="27" t="n">
        <f aca="false">IF(COUNTA($D26:$P26)=0,0,IF(N($O26)&gt;=NUTRICION!$C$30,1,0))</f>
        <v>0</v>
      </c>
      <c r="V26" s="27" t="n">
        <f aca="false">IF(COUNTA($D26:$P26)=0,0,IF(N($P26)&gt;=NUTRICION!$C$29,1,0))</f>
        <v>0</v>
      </c>
      <c r="W26" s="10" t="str">
        <f aca="false">IF(COUNTA($D26:$P26)=0,"",SUMPRODUCT($D$2:$K$2,$D26:$K26)+SUMPRODUCT($R$2:$V$2,$R26:$V26))</f>
        <v/>
      </c>
      <c r="X26" s="48" t="str">
        <f aca="false">IF($W26="","",$W26/100)</f>
        <v/>
      </c>
      <c r="Y26" s="14"/>
    </row>
    <row r="27" customFormat="false" ht="15" hidden="false" customHeight="false" outlineLevel="0" collapsed="false">
      <c r="A27" s="44" t="n">
        <v>46295</v>
      </c>
      <c r="B27" s="27" t="s">
        <v>783</v>
      </c>
      <c r="C27" s="39" t="s">
        <v>780</v>
      </c>
      <c r="D27" s="39"/>
      <c r="E27" s="39"/>
      <c r="F27" s="39"/>
      <c r="G27" s="39"/>
      <c r="H27" s="39"/>
      <c r="I27" s="39"/>
      <c r="J27" s="39"/>
      <c r="K27" s="39"/>
      <c r="L27" s="31"/>
      <c r="M27" s="45"/>
      <c r="N27" s="46"/>
      <c r="O27" s="31"/>
      <c r="P27" s="46"/>
      <c r="Q27" s="47" t="n">
        <f aca="false">IF($C27="AYUNO",0,IF($C27="LIGERO",NUTRICION!$C$21,NUTRICION!$C$20))</f>
        <v>2750</v>
      </c>
      <c r="R27" s="27" t="n">
        <f aca="false">IF(COUNTA($D27:$P27)=0,0,IF($C27="AYUNO",IF(N($M27)&lt;=200,1,0),IF(N($L27)&gt;=NUTRICION!$C$23,1,0)))</f>
        <v>0</v>
      </c>
      <c r="S27" s="27" t="n">
        <f aca="false">IF(COUNTA($D27:$P27)=0,0,IF($C27="AYUNO",IF(N($M27)&lt;=200,1,0),IF(AND(N($M27)&gt;=$Q27-150,N($M27)&lt;=$Q27+150),1,0)))</f>
        <v>0</v>
      </c>
      <c r="T27" s="27" t="n">
        <f aca="false">IF(COUNTA($D27:$P27)=0,0,IF(N($N27)&gt;=NUTRICION!$C$27,1,0))</f>
        <v>0</v>
      </c>
      <c r="U27" s="27" t="n">
        <f aca="false">IF(COUNTA($D27:$P27)=0,0,IF(N($O27)&gt;=NUTRICION!$C$30,1,0))</f>
        <v>0</v>
      </c>
      <c r="V27" s="27" t="n">
        <f aca="false">IF(COUNTA($D27:$P27)=0,0,IF(N($P27)&gt;=NUTRICION!$C$29,1,0))</f>
        <v>0</v>
      </c>
      <c r="W27" s="10" t="str">
        <f aca="false">IF(COUNTA($D27:$P27)=0,"",SUMPRODUCT($D$2:$K$2,$D27:$K27)+SUMPRODUCT($R$2:$V$2,$R27:$V27))</f>
        <v/>
      </c>
      <c r="X27" s="48" t="str">
        <f aca="false">IF($W27="","",$W27/100)</f>
        <v/>
      </c>
      <c r="Y27" s="14"/>
    </row>
    <row r="28" customFormat="false" ht="15" hidden="false" customHeight="false" outlineLevel="0" collapsed="false">
      <c r="A28" s="44" t="n">
        <v>46296</v>
      </c>
      <c r="B28" s="27" t="s">
        <v>784</v>
      </c>
      <c r="C28" s="39" t="s">
        <v>780</v>
      </c>
      <c r="D28" s="39"/>
      <c r="E28" s="39"/>
      <c r="F28" s="39"/>
      <c r="G28" s="39"/>
      <c r="H28" s="39"/>
      <c r="I28" s="39"/>
      <c r="J28" s="39"/>
      <c r="K28" s="39"/>
      <c r="L28" s="31"/>
      <c r="M28" s="45"/>
      <c r="N28" s="46"/>
      <c r="O28" s="31"/>
      <c r="P28" s="46"/>
      <c r="Q28" s="47" t="n">
        <f aca="false">IF($C28="AYUNO",0,IF($C28="LIGERO",NUTRICION!$C$21,NUTRICION!$C$20))</f>
        <v>2750</v>
      </c>
      <c r="R28" s="27" t="n">
        <f aca="false">IF(COUNTA($D28:$P28)=0,0,IF($C28="AYUNO",IF(N($M28)&lt;=200,1,0),IF(N($L28)&gt;=NUTRICION!$C$23,1,0)))</f>
        <v>0</v>
      </c>
      <c r="S28" s="27" t="n">
        <f aca="false">IF(COUNTA($D28:$P28)=0,0,IF($C28="AYUNO",IF(N($M28)&lt;=200,1,0),IF(AND(N($M28)&gt;=$Q28-150,N($M28)&lt;=$Q28+150),1,0)))</f>
        <v>0</v>
      </c>
      <c r="T28" s="27" t="n">
        <f aca="false">IF(COUNTA($D28:$P28)=0,0,IF(N($N28)&gt;=NUTRICION!$C$27,1,0))</f>
        <v>0</v>
      </c>
      <c r="U28" s="27" t="n">
        <f aca="false">IF(COUNTA($D28:$P28)=0,0,IF(N($O28)&gt;=NUTRICION!$C$30,1,0))</f>
        <v>0</v>
      </c>
      <c r="V28" s="27" t="n">
        <f aca="false">IF(COUNTA($D28:$P28)=0,0,IF(N($P28)&gt;=NUTRICION!$C$29,1,0))</f>
        <v>0</v>
      </c>
      <c r="W28" s="10" t="str">
        <f aca="false">IF(COUNTA($D28:$P28)=0,"",SUMPRODUCT($D$2:$K$2,$D28:$K28)+SUMPRODUCT($R$2:$V$2,$R28:$V28))</f>
        <v/>
      </c>
      <c r="X28" s="48" t="str">
        <f aca="false">IF($W28="","",$W28/100)</f>
        <v/>
      </c>
      <c r="Y28" s="14"/>
    </row>
    <row r="29" customFormat="false" ht="15" hidden="false" customHeight="false" outlineLevel="0" collapsed="false">
      <c r="A29" s="44" t="n">
        <v>46297</v>
      </c>
      <c r="B29" s="50" t="s">
        <v>785</v>
      </c>
      <c r="C29" s="39" t="s">
        <v>786</v>
      </c>
      <c r="D29" s="39"/>
      <c r="E29" s="39"/>
      <c r="F29" s="39"/>
      <c r="G29" s="39"/>
      <c r="H29" s="39"/>
      <c r="I29" s="39"/>
      <c r="J29" s="39"/>
      <c r="K29" s="39"/>
      <c r="L29" s="31"/>
      <c r="M29" s="45"/>
      <c r="N29" s="46"/>
      <c r="O29" s="31"/>
      <c r="P29" s="46"/>
      <c r="Q29" s="47" t="n">
        <f aca="false">IF($C29="AYUNO",0,IF($C29="LIGERO",NUTRICION!$C$21,NUTRICION!$C$20))</f>
        <v>0</v>
      </c>
      <c r="R29" s="27" t="n">
        <f aca="false">IF(COUNTA($D29:$P29)=0,0,IF($C29="AYUNO",IF(N($M29)&lt;=200,1,0),IF(N($L29)&gt;=NUTRICION!$C$23,1,0)))</f>
        <v>0</v>
      </c>
      <c r="S29" s="27" t="n">
        <f aca="false">IF(COUNTA($D29:$P29)=0,0,IF($C29="AYUNO",IF(N($M29)&lt;=200,1,0),IF(AND(N($M29)&gt;=$Q29-150,N($M29)&lt;=$Q29+150),1,0)))</f>
        <v>0</v>
      </c>
      <c r="T29" s="27" t="n">
        <f aca="false">IF(COUNTA($D29:$P29)=0,0,IF(N($N29)&gt;=NUTRICION!$C$27,1,0))</f>
        <v>0</v>
      </c>
      <c r="U29" s="27" t="n">
        <f aca="false">IF(COUNTA($D29:$P29)=0,0,IF(N($O29)&gt;=NUTRICION!$C$30,1,0))</f>
        <v>0</v>
      </c>
      <c r="V29" s="27" t="n">
        <f aca="false">IF(COUNTA($D29:$P29)=0,0,IF(N($P29)&gt;=NUTRICION!$C$29,1,0))</f>
        <v>0</v>
      </c>
      <c r="W29" s="10" t="str">
        <f aca="false">IF(COUNTA($D29:$P29)=0,"",SUMPRODUCT($D$2:$K$2,$D29:$K29)+SUMPRODUCT($R$2:$V$2,$R29:$V29))</f>
        <v/>
      </c>
      <c r="X29" s="48" t="str">
        <f aca="false">IF($W29="","",$W29/100)</f>
        <v/>
      </c>
      <c r="Y29" s="14"/>
    </row>
    <row r="30" customFormat="false" ht="15" hidden="false" customHeight="false" outlineLevel="0" collapsed="false">
      <c r="A30" s="44" t="n">
        <v>46298</v>
      </c>
      <c r="B30" s="51" t="s">
        <v>787</v>
      </c>
      <c r="C30" s="39" t="s">
        <v>788</v>
      </c>
      <c r="D30" s="39"/>
      <c r="E30" s="39"/>
      <c r="F30" s="39"/>
      <c r="G30" s="39"/>
      <c r="H30" s="39"/>
      <c r="I30" s="39"/>
      <c r="J30" s="39"/>
      <c r="K30" s="39"/>
      <c r="L30" s="31"/>
      <c r="M30" s="45"/>
      <c r="N30" s="46"/>
      <c r="O30" s="31"/>
      <c r="P30" s="46"/>
      <c r="Q30" s="47" t="n">
        <f aca="false">IF($C30="AYUNO",0,IF($C30="LIGERO",NUTRICION!$C$21,NUTRICION!$C$20))</f>
        <v>2450</v>
      </c>
      <c r="R30" s="27" t="n">
        <f aca="false">IF(COUNTA($D30:$P30)=0,0,IF($C30="AYUNO",IF(N($M30)&lt;=200,1,0),IF(N($L30)&gt;=NUTRICION!$C$23,1,0)))</f>
        <v>0</v>
      </c>
      <c r="S30" s="27" t="n">
        <f aca="false">IF(COUNTA($D30:$P30)=0,0,IF($C30="AYUNO",IF(N($M30)&lt;=200,1,0),IF(AND(N($M30)&gt;=$Q30-150,N($M30)&lt;=$Q30+150),1,0)))</f>
        <v>0</v>
      </c>
      <c r="T30" s="27" t="n">
        <f aca="false">IF(COUNTA($D30:$P30)=0,0,IF(N($N30)&gt;=NUTRICION!$C$27,1,0))</f>
        <v>0</v>
      </c>
      <c r="U30" s="27" t="n">
        <f aca="false">IF(COUNTA($D30:$P30)=0,0,IF(N($O30)&gt;=NUTRICION!$C$30,1,0))</f>
        <v>0</v>
      </c>
      <c r="V30" s="27" t="n">
        <f aca="false">IF(COUNTA($D30:$P30)=0,0,IF(N($P30)&gt;=NUTRICION!$C$29,1,0))</f>
        <v>0</v>
      </c>
      <c r="W30" s="10" t="str">
        <f aca="false">IF(COUNTA($D30:$P30)=0,"",SUMPRODUCT($D$2:$K$2,$D30:$K30)+SUMPRODUCT($R$2:$V$2,$R30:$V30))</f>
        <v/>
      </c>
      <c r="X30" s="48" t="str">
        <f aca="false">IF($W30="","",$W30/100)</f>
        <v/>
      </c>
      <c r="Y30" s="14"/>
    </row>
    <row r="31" customFormat="false" ht="15" hidden="false" customHeight="false" outlineLevel="0" collapsed="false">
      <c r="A31" s="44" t="n">
        <v>46299</v>
      </c>
      <c r="B31" s="51" t="s">
        <v>789</v>
      </c>
      <c r="C31" s="39" t="s">
        <v>788</v>
      </c>
      <c r="D31" s="39"/>
      <c r="E31" s="39"/>
      <c r="F31" s="39"/>
      <c r="G31" s="39"/>
      <c r="H31" s="39"/>
      <c r="I31" s="39"/>
      <c r="J31" s="39"/>
      <c r="K31" s="39"/>
      <c r="L31" s="31"/>
      <c r="M31" s="45"/>
      <c r="N31" s="46"/>
      <c r="O31" s="31"/>
      <c r="P31" s="46"/>
      <c r="Q31" s="47" t="n">
        <f aca="false">IF($C31="AYUNO",0,IF($C31="LIGERO",NUTRICION!$C$21,NUTRICION!$C$20))</f>
        <v>2450</v>
      </c>
      <c r="R31" s="27" t="n">
        <f aca="false">IF(COUNTA($D31:$P31)=0,0,IF($C31="AYUNO",IF(N($M31)&lt;=200,1,0),IF(N($L31)&gt;=NUTRICION!$C$23,1,0)))</f>
        <v>0</v>
      </c>
      <c r="S31" s="27" t="n">
        <f aca="false">IF(COUNTA($D31:$P31)=0,0,IF($C31="AYUNO",IF(N($M31)&lt;=200,1,0),IF(AND(N($M31)&gt;=$Q31-150,N($M31)&lt;=$Q31+150),1,0)))</f>
        <v>0</v>
      </c>
      <c r="T31" s="27" t="n">
        <f aca="false">IF(COUNTA($D31:$P31)=0,0,IF(N($N31)&gt;=NUTRICION!$C$27,1,0))</f>
        <v>0</v>
      </c>
      <c r="U31" s="27" t="n">
        <f aca="false">IF(COUNTA($D31:$P31)=0,0,IF(N($O31)&gt;=NUTRICION!$C$30,1,0))</f>
        <v>0</v>
      </c>
      <c r="V31" s="27" t="n">
        <f aca="false">IF(COUNTA($D31:$P31)=0,0,IF(N($P31)&gt;=NUTRICION!$C$29,1,0))</f>
        <v>0</v>
      </c>
      <c r="W31" s="10" t="str">
        <f aca="false">IF(COUNTA($D31:$P31)=0,"",SUMPRODUCT($D$2:$K$2,$D31:$K31)+SUMPRODUCT($R$2:$V$2,$R31:$V31))</f>
        <v/>
      </c>
      <c r="X31" s="48" t="str">
        <f aca="false">IF($W31="","",$W31/100)</f>
        <v/>
      </c>
      <c r="Y31" s="14"/>
    </row>
    <row r="32" customFormat="false" ht="15" hidden="false" customHeight="false" outlineLevel="0" collapsed="false">
      <c r="A32" s="44" t="n">
        <v>46300</v>
      </c>
      <c r="B32" s="27" t="s">
        <v>779</v>
      </c>
      <c r="C32" s="39" t="s">
        <v>780</v>
      </c>
      <c r="D32" s="39"/>
      <c r="E32" s="39"/>
      <c r="F32" s="39"/>
      <c r="G32" s="39"/>
      <c r="H32" s="39"/>
      <c r="I32" s="39"/>
      <c r="J32" s="39"/>
      <c r="K32" s="39"/>
      <c r="L32" s="31"/>
      <c r="M32" s="45"/>
      <c r="N32" s="46"/>
      <c r="O32" s="31"/>
      <c r="P32" s="46"/>
      <c r="Q32" s="47" t="n">
        <f aca="false">IF($C32="AYUNO",0,IF($C32="LIGERO",NUTRICION!$C$21,NUTRICION!$C$20))</f>
        <v>2750</v>
      </c>
      <c r="R32" s="27" t="n">
        <f aca="false">IF(COUNTA($D32:$P32)=0,0,IF($C32="AYUNO",IF(N($M32)&lt;=200,1,0),IF(N($L32)&gt;=NUTRICION!$C$23,1,0)))</f>
        <v>0</v>
      </c>
      <c r="S32" s="27" t="n">
        <f aca="false">IF(COUNTA($D32:$P32)=0,0,IF($C32="AYUNO",IF(N($M32)&lt;=200,1,0),IF(AND(N($M32)&gt;=$Q32-150,N($M32)&lt;=$Q32+150),1,0)))</f>
        <v>0</v>
      </c>
      <c r="T32" s="27" t="n">
        <f aca="false">IF(COUNTA($D32:$P32)=0,0,IF(N($N32)&gt;=NUTRICION!$C$27,1,0))</f>
        <v>0</v>
      </c>
      <c r="U32" s="27" t="n">
        <f aca="false">IF(COUNTA($D32:$P32)=0,0,IF(N($O32)&gt;=NUTRICION!$C$30,1,0))</f>
        <v>0</v>
      </c>
      <c r="V32" s="27" t="n">
        <f aca="false">IF(COUNTA($D32:$P32)=0,0,IF(N($P32)&gt;=NUTRICION!$C$29,1,0))</f>
        <v>0</v>
      </c>
      <c r="W32" s="10" t="str">
        <f aca="false">IF(COUNTA($D32:$P32)=0,"",SUMPRODUCT($D$2:$K$2,$D32:$K32)+SUMPRODUCT($R$2:$V$2,$R32:$V32))</f>
        <v/>
      </c>
      <c r="X32" s="48" t="str">
        <f aca="false">IF($W32="","",$W32/100)</f>
        <v/>
      </c>
      <c r="Y32" s="14"/>
    </row>
    <row r="33" customFormat="false" ht="15" hidden="false" customHeight="false" outlineLevel="0" collapsed="false">
      <c r="A33" s="44" t="n">
        <v>46301</v>
      </c>
      <c r="B33" s="27" t="s">
        <v>782</v>
      </c>
      <c r="C33" s="39" t="s">
        <v>780</v>
      </c>
      <c r="D33" s="39"/>
      <c r="E33" s="39"/>
      <c r="F33" s="39"/>
      <c r="G33" s="39"/>
      <c r="H33" s="39"/>
      <c r="I33" s="39"/>
      <c r="J33" s="39"/>
      <c r="K33" s="39"/>
      <c r="L33" s="31"/>
      <c r="M33" s="45"/>
      <c r="N33" s="46"/>
      <c r="O33" s="31"/>
      <c r="P33" s="46"/>
      <c r="Q33" s="47" t="n">
        <f aca="false">IF($C33="AYUNO",0,IF($C33="LIGERO",NUTRICION!$C$21,NUTRICION!$C$20))</f>
        <v>2750</v>
      </c>
      <c r="R33" s="27" t="n">
        <f aca="false">IF(COUNTA($D33:$P33)=0,0,IF($C33="AYUNO",IF(N($M33)&lt;=200,1,0),IF(N($L33)&gt;=NUTRICION!$C$23,1,0)))</f>
        <v>0</v>
      </c>
      <c r="S33" s="27" t="n">
        <f aca="false">IF(COUNTA($D33:$P33)=0,0,IF($C33="AYUNO",IF(N($M33)&lt;=200,1,0),IF(AND(N($M33)&gt;=$Q33-150,N($M33)&lt;=$Q33+150),1,0)))</f>
        <v>0</v>
      </c>
      <c r="T33" s="27" t="n">
        <f aca="false">IF(COUNTA($D33:$P33)=0,0,IF(N($N33)&gt;=NUTRICION!$C$27,1,0))</f>
        <v>0</v>
      </c>
      <c r="U33" s="27" t="n">
        <f aca="false">IF(COUNTA($D33:$P33)=0,0,IF(N($O33)&gt;=NUTRICION!$C$30,1,0))</f>
        <v>0</v>
      </c>
      <c r="V33" s="27" t="n">
        <f aca="false">IF(COUNTA($D33:$P33)=0,0,IF(N($P33)&gt;=NUTRICION!$C$29,1,0))</f>
        <v>0</v>
      </c>
      <c r="W33" s="10" t="str">
        <f aca="false">IF(COUNTA($D33:$P33)=0,"",SUMPRODUCT($D$2:$K$2,$D33:$K33)+SUMPRODUCT($R$2:$V$2,$R33:$V33))</f>
        <v/>
      </c>
      <c r="X33" s="48" t="str">
        <f aca="false">IF($W33="","",$W33/100)</f>
        <v/>
      </c>
      <c r="Y33" s="14"/>
    </row>
    <row r="34" customFormat="false" ht="15" hidden="false" customHeight="false" outlineLevel="0" collapsed="false">
      <c r="A34" s="44" t="n">
        <v>46302</v>
      </c>
      <c r="B34" s="27" t="s">
        <v>783</v>
      </c>
      <c r="C34" s="39" t="s">
        <v>780</v>
      </c>
      <c r="D34" s="39"/>
      <c r="E34" s="39"/>
      <c r="F34" s="39"/>
      <c r="G34" s="39"/>
      <c r="H34" s="39"/>
      <c r="I34" s="39"/>
      <c r="J34" s="39"/>
      <c r="K34" s="39"/>
      <c r="L34" s="31"/>
      <c r="M34" s="45"/>
      <c r="N34" s="46"/>
      <c r="O34" s="31"/>
      <c r="P34" s="46"/>
      <c r="Q34" s="47" t="n">
        <f aca="false">IF($C34="AYUNO",0,IF($C34="LIGERO",NUTRICION!$C$21,NUTRICION!$C$20))</f>
        <v>2750</v>
      </c>
      <c r="R34" s="27" t="n">
        <f aca="false">IF(COUNTA($D34:$P34)=0,0,IF($C34="AYUNO",IF(N($M34)&lt;=200,1,0),IF(N($L34)&gt;=NUTRICION!$C$23,1,0)))</f>
        <v>0</v>
      </c>
      <c r="S34" s="27" t="n">
        <f aca="false">IF(COUNTA($D34:$P34)=0,0,IF($C34="AYUNO",IF(N($M34)&lt;=200,1,0),IF(AND(N($M34)&gt;=$Q34-150,N($M34)&lt;=$Q34+150),1,0)))</f>
        <v>0</v>
      </c>
      <c r="T34" s="27" t="n">
        <f aca="false">IF(COUNTA($D34:$P34)=0,0,IF(N($N34)&gt;=NUTRICION!$C$27,1,0))</f>
        <v>0</v>
      </c>
      <c r="U34" s="27" t="n">
        <f aca="false">IF(COUNTA($D34:$P34)=0,0,IF(N($O34)&gt;=NUTRICION!$C$30,1,0))</f>
        <v>0</v>
      </c>
      <c r="V34" s="27" t="n">
        <f aca="false">IF(COUNTA($D34:$P34)=0,0,IF(N($P34)&gt;=NUTRICION!$C$29,1,0))</f>
        <v>0</v>
      </c>
      <c r="W34" s="10" t="str">
        <f aca="false">IF(COUNTA($D34:$P34)=0,"",SUMPRODUCT($D$2:$K$2,$D34:$K34)+SUMPRODUCT($R$2:$V$2,$R34:$V34))</f>
        <v/>
      </c>
      <c r="X34" s="48" t="str">
        <f aca="false">IF($W34="","",$W34/100)</f>
        <v/>
      </c>
      <c r="Y34" s="14"/>
    </row>
    <row r="35" customFormat="false" ht="15" hidden="false" customHeight="false" outlineLevel="0" collapsed="false">
      <c r="A35" s="44" t="n">
        <v>46303</v>
      </c>
      <c r="B35" s="27" t="s">
        <v>784</v>
      </c>
      <c r="C35" s="39" t="s">
        <v>780</v>
      </c>
      <c r="D35" s="39"/>
      <c r="E35" s="39"/>
      <c r="F35" s="39"/>
      <c r="G35" s="39"/>
      <c r="H35" s="39"/>
      <c r="I35" s="39"/>
      <c r="J35" s="39"/>
      <c r="K35" s="39"/>
      <c r="L35" s="31"/>
      <c r="M35" s="45"/>
      <c r="N35" s="46"/>
      <c r="O35" s="31"/>
      <c r="P35" s="46"/>
      <c r="Q35" s="47" t="n">
        <f aca="false">IF($C35="AYUNO",0,IF($C35="LIGERO",NUTRICION!$C$21,NUTRICION!$C$20))</f>
        <v>2750</v>
      </c>
      <c r="R35" s="27" t="n">
        <f aca="false">IF(COUNTA($D35:$P35)=0,0,IF($C35="AYUNO",IF(N($M35)&lt;=200,1,0),IF(N($L35)&gt;=NUTRICION!$C$23,1,0)))</f>
        <v>0</v>
      </c>
      <c r="S35" s="27" t="n">
        <f aca="false">IF(COUNTA($D35:$P35)=0,0,IF($C35="AYUNO",IF(N($M35)&lt;=200,1,0),IF(AND(N($M35)&gt;=$Q35-150,N($M35)&lt;=$Q35+150),1,0)))</f>
        <v>0</v>
      </c>
      <c r="T35" s="27" t="n">
        <f aca="false">IF(COUNTA($D35:$P35)=0,0,IF(N($N35)&gt;=NUTRICION!$C$27,1,0))</f>
        <v>0</v>
      </c>
      <c r="U35" s="27" t="n">
        <f aca="false">IF(COUNTA($D35:$P35)=0,0,IF(N($O35)&gt;=NUTRICION!$C$30,1,0))</f>
        <v>0</v>
      </c>
      <c r="V35" s="27" t="n">
        <f aca="false">IF(COUNTA($D35:$P35)=0,0,IF(N($P35)&gt;=NUTRICION!$C$29,1,0))</f>
        <v>0</v>
      </c>
      <c r="W35" s="10" t="str">
        <f aca="false">IF(COUNTA($D35:$P35)=0,"",SUMPRODUCT($D$2:$K$2,$D35:$K35)+SUMPRODUCT($R$2:$V$2,$R35:$V35))</f>
        <v/>
      </c>
      <c r="X35" s="48" t="str">
        <f aca="false">IF($W35="","",$W35/100)</f>
        <v/>
      </c>
      <c r="Y35" s="14"/>
    </row>
    <row r="36" customFormat="false" ht="15" hidden="false" customHeight="false" outlineLevel="0" collapsed="false">
      <c r="A36" s="44" t="n">
        <v>46304</v>
      </c>
      <c r="B36" s="50" t="s">
        <v>785</v>
      </c>
      <c r="C36" s="39" t="s">
        <v>786</v>
      </c>
      <c r="D36" s="39"/>
      <c r="E36" s="39"/>
      <c r="F36" s="39"/>
      <c r="G36" s="39"/>
      <c r="H36" s="39"/>
      <c r="I36" s="39"/>
      <c r="J36" s="39"/>
      <c r="K36" s="39"/>
      <c r="L36" s="31"/>
      <c r="M36" s="45"/>
      <c r="N36" s="46"/>
      <c r="O36" s="31"/>
      <c r="P36" s="46"/>
      <c r="Q36" s="47" t="n">
        <f aca="false">IF($C36="AYUNO",0,IF($C36="LIGERO",NUTRICION!$C$21,NUTRICION!$C$20))</f>
        <v>0</v>
      </c>
      <c r="R36" s="27" t="n">
        <f aca="false">IF(COUNTA($D36:$P36)=0,0,IF($C36="AYUNO",IF(N($M36)&lt;=200,1,0),IF(N($L36)&gt;=NUTRICION!$C$23,1,0)))</f>
        <v>0</v>
      </c>
      <c r="S36" s="27" t="n">
        <f aca="false">IF(COUNTA($D36:$P36)=0,0,IF($C36="AYUNO",IF(N($M36)&lt;=200,1,0),IF(AND(N($M36)&gt;=$Q36-150,N($M36)&lt;=$Q36+150),1,0)))</f>
        <v>0</v>
      </c>
      <c r="T36" s="27" t="n">
        <f aca="false">IF(COUNTA($D36:$P36)=0,0,IF(N($N36)&gt;=NUTRICION!$C$27,1,0))</f>
        <v>0</v>
      </c>
      <c r="U36" s="27" t="n">
        <f aca="false">IF(COUNTA($D36:$P36)=0,0,IF(N($O36)&gt;=NUTRICION!$C$30,1,0))</f>
        <v>0</v>
      </c>
      <c r="V36" s="27" t="n">
        <f aca="false">IF(COUNTA($D36:$P36)=0,0,IF(N($P36)&gt;=NUTRICION!$C$29,1,0))</f>
        <v>0</v>
      </c>
      <c r="W36" s="10" t="str">
        <f aca="false">IF(COUNTA($D36:$P36)=0,"",SUMPRODUCT($D$2:$K$2,$D36:$K36)+SUMPRODUCT($R$2:$V$2,$R36:$V36))</f>
        <v/>
      </c>
      <c r="X36" s="48" t="str">
        <f aca="false">IF($W36="","",$W36/100)</f>
        <v/>
      </c>
      <c r="Y36" s="14"/>
    </row>
    <row r="37" customFormat="false" ht="15" hidden="false" customHeight="false" outlineLevel="0" collapsed="false">
      <c r="A37" s="44" t="n">
        <v>46305</v>
      </c>
      <c r="B37" s="51" t="s">
        <v>787</v>
      </c>
      <c r="C37" s="39" t="s">
        <v>788</v>
      </c>
      <c r="D37" s="39"/>
      <c r="E37" s="39"/>
      <c r="F37" s="39"/>
      <c r="G37" s="39"/>
      <c r="H37" s="39"/>
      <c r="I37" s="39"/>
      <c r="J37" s="39"/>
      <c r="K37" s="39"/>
      <c r="L37" s="31"/>
      <c r="M37" s="45"/>
      <c r="N37" s="46"/>
      <c r="O37" s="31"/>
      <c r="P37" s="46"/>
      <c r="Q37" s="47" t="n">
        <f aca="false">IF($C37="AYUNO",0,IF($C37="LIGERO",NUTRICION!$C$21,NUTRICION!$C$20))</f>
        <v>2450</v>
      </c>
      <c r="R37" s="27" t="n">
        <f aca="false">IF(COUNTA($D37:$P37)=0,0,IF($C37="AYUNO",IF(N($M37)&lt;=200,1,0),IF(N($L37)&gt;=NUTRICION!$C$23,1,0)))</f>
        <v>0</v>
      </c>
      <c r="S37" s="27" t="n">
        <f aca="false">IF(COUNTA($D37:$P37)=0,0,IF($C37="AYUNO",IF(N($M37)&lt;=200,1,0),IF(AND(N($M37)&gt;=$Q37-150,N($M37)&lt;=$Q37+150),1,0)))</f>
        <v>0</v>
      </c>
      <c r="T37" s="27" t="n">
        <f aca="false">IF(COUNTA($D37:$P37)=0,0,IF(N($N37)&gt;=NUTRICION!$C$27,1,0))</f>
        <v>0</v>
      </c>
      <c r="U37" s="27" t="n">
        <f aca="false">IF(COUNTA($D37:$P37)=0,0,IF(N($O37)&gt;=NUTRICION!$C$30,1,0))</f>
        <v>0</v>
      </c>
      <c r="V37" s="27" t="n">
        <f aca="false">IF(COUNTA($D37:$P37)=0,0,IF(N($P37)&gt;=NUTRICION!$C$29,1,0))</f>
        <v>0</v>
      </c>
      <c r="W37" s="10" t="str">
        <f aca="false">IF(COUNTA($D37:$P37)=0,"",SUMPRODUCT($D$2:$K$2,$D37:$K37)+SUMPRODUCT($R$2:$V$2,$R37:$V37))</f>
        <v/>
      </c>
      <c r="X37" s="48" t="str">
        <f aca="false">IF($W37="","",$W37/100)</f>
        <v/>
      </c>
      <c r="Y37" s="14"/>
    </row>
    <row r="38" customFormat="false" ht="15" hidden="false" customHeight="false" outlineLevel="0" collapsed="false">
      <c r="A38" s="44" t="n">
        <v>46306</v>
      </c>
      <c r="B38" s="51" t="s">
        <v>789</v>
      </c>
      <c r="C38" s="39" t="s">
        <v>788</v>
      </c>
      <c r="D38" s="39"/>
      <c r="E38" s="39"/>
      <c r="F38" s="39"/>
      <c r="G38" s="39"/>
      <c r="H38" s="39"/>
      <c r="I38" s="39"/>
      <c r="J38" s="39"/>
      <c r="K38" s="39"/>
      <c r="L38" s="31"/>
      <c r="M38" s="45"/>
      <c r="N38" s="46"/>
      <c r="O38" s="31"/>
      <c r="P38" s="46"/>
      <c r="Q38" s="47" t="n">
        <f aca="false">IF($C38="AYUNO",0,IF($C38="LIGERO",NUTRICION!$C$21,NUTRICION!$C$20))</f>
        <v>2450</v>
      </c>
      <c r="R38" s="27" t="n">
        <f aca="false">IF(COUNTA($D38:$P38)=0,0,IF($C38="AYUNO",IF(N($M38)&lt;=200,1,0),IF(N($L38)&gt;=NUTRICION!$C$23,1,0)))</f>
        <v>0</v>
      </c>
      <c r="S38" s="27" t="n">
        <f aca="false">IF(COUNTA($D38:$P38)=0,0,IF($C38="AYUNO",IF(N($M38)&lt;=200,1,0),IF(AND(N($M38)&gt;=$Q38-150,N($M38)&lt;=$Q38+150),1,0)))</f>
        <v>0</v>
      </c>
      <c r="T38" s="27" t="n">
        <f aca="false">IF(COUNTA($D38:$P38)=0,0,IF(N($N38)&gt;=NUTRICION!$C$27,1,0))</f>
        <v>0</v>
      </c>
      <c r="U38" s="27" t="n">
        <f aca="false">IF(COUNTA($D38:$P38)=0,0,IF(N($O38)&gt;=NUTRICION!$C$30,1,0))</f>
        <v>0</v>
      </c>
      <c r="V38" s="27" t="n">
        <f aca="false">IF(COUNTA($D38:$P38)=0,0,IF(N($P38)&gt;=NUTRICION!$C$29,1,0))</f>
        <v>0</v>
      </c>
      <c r="W38" s="10" t="str">
        <f aca="false">IF(COUNTA($D38:$P38)=0,"",SUMPRODUCT($D$2:$K$2,$D38:$K38)+SUMPRODUCT($R$2:$V$2,$R38:$V38))</f>
        <v/>
      </c>
      <c r="X38" s="48" t="str">
        <f aca="false">IF($W38="","",$W38/100)</f>
        <v/>
      </c>
      <c r="Y38" s="14"/>
    </row>
    <row r="39" customFormat="false" ht="15" hidden="false" customHeight="false" outlineLevel="0" collapsed="false">
      <c r="A39" s="44" t="n">
        <v>46307</v>
      </c>
      <c r="B39" s="27" t="s">
        <v>779</v>
      </c>
      <c r="C39" s="39" t="s">
        <v>780</v>
      </c>
      <c r="D39" s="39"/>
      <c r="E39" s="39"/>
      <c r="F39" s="39"/>
      <c r="G39" s="39"/>
      <c r="H39" s="39"/>
      <c r="I39" s="39"/>
      <c r="J39" s="39"/>
      <c r="K39" s="39"/>
      <c r="L39" s="31"/>
      <c r="M39" s="45"/>
      <c r="N39" s="46"/>
      <c r="O39" s="31"/>
      <c r="P39" s="46"/>
      <c r="Q39" s="47" t="n">
        <f aca="false">IF($C39="AYUNO",0,IF($C39="LIGERO",NUTRICION!$C$21,NUTRICION!$C$20))</f>
        <v>2750</v>
      </c>
      <c r="R39" s="27" t="n">
        <f aca="false">IF(COUNTA($D39:$P39)=0,0,IF($C39="AYUNO",IF(N($M39)&lt;=200,1,0),IF(N($L39)&gt;=NUTRICION!$C$23,1,0)))</f>
        <v>0</v>
      </c>
      <c r="S39" s="27" t="n">
        <f aca="false">IF(COUNTA($D39:$P39)=0,0,IF($C39="AYUNO",IF(N($M39)&lt;=200,1,0),IF(AND(N($M39)&gt;=$Q39-150,N($M39)&lt;=$Q39+150),1,0)))</f>
        <v>0</v>
      </c>
      <c r="T39" s="27" t="n">
        <f aca="false">IF(COUNTA($D39:$P39)=0,0,IF(N($N39)&gt;=NUTRICION!$C$27,1,0))</f>
        <v>0</v>
      </c>
      <c r="U39" s="27" t="n">
        <f aca="false">IF(COUNTA($D39:$P39)=0,0,IF(N($O39)&gt;=NUTRICION!$C$30,1,0))</f>
        <v>0</v>
      </c>
      <c r="V39" s="27" t="n">
        <f aca="false">IF(COUNTA($D39:$P39)=0,0,IF(N($P39)&gt;=NUTRICION!$C$29,1,0))</f>
        <v>0</v>
      </c>
      <c r="W39" s="10" t="str">
        <f aca="false">IF(COUNTA($D39:$P39)=0,"",SUMPRODUCT($D$2:$K$2,$D39:$K39)+SUMPRODUCT($R$2:$V$2,$R39:$V39))</f>
        <v/>
      </c>
      <c r="X39" s="48" t="str">
        <f aca="false">IF($W39="","",$W39/100)</f>
        <v/>
      </c>
      <c r="Y39" s="14"/>
    </row>
    <row r="40" customFormat="false" ht="15" hidden="false" customHeight="false" outlineLevel="0" collapsed="false">
      <c r="A40" s="44" t="n">
        <v>46308</v>
      </c>
      <c r="B40" s="27" t="s">
        <v>782</v>
      </c>
      <c r="C40" s="39" t="s">
        <v>780</v>
      </c>
      <c r="D40" s="39"/>
      <c r="E40" s="39"/>
      <c r="F40" s="39"/>
      <c r="G40" s="39"/>
      <c r="H40" s="39"/>
      <c r="I40" s="39"/>
      <c r="J40" s="39"/>
      <c r="K40" s="39"/>
      <c r="L40" s="31"/>
      <c r="M40" s="45"/>
      <c r="N40" s="46"/>
      <c r="O40" s="31"/>
      <c r="P40" s="46"/>
      <c r="Q40" s="47" t="n">
        <f aca="false">IF($C40="AYUNO",0,IF($C40="LIGERO",NUTRICION!$C$21,NUTRICION!$C$20))</f>
        <v>2750</v>
      </c>
      <c r="R40" s="27" t="n">
        <f aca="false">IF(COUNTA($D40:$P40)=0,0,IF($C40="AYUNO",IF(N($M40)&lt;=200,1,0),IF(N($L40)&gt;=NUTRICION!$C$23,1,0)))</f>
        <v>0</v>
      </c>
      <c r="S40" s="27" t="n">
        <f aca="false">IF(COUNTA($D40:$P40)=0,0,IF($C40="AYUNO",IF(N($M40)&lt;=200,1,0),IF(AND(N($M40)&gt;=$Q40-150,N($M40)&lt;=$Q40+150),1,0)))</f>
        <v>0</v>
      </c>
      <c r="T40" s="27" t="n">
        <f aca="false">IF(COUNTA($D40:$P40)=0,0,IF(N($N40)&gt;=NUTRICION!$C$27,1,0))</f>
        <v>0</v>
      </c>
      <c r="U40" s="27" t="n">
        <f aca="false">IF(COUNTA($D40:$P40)=0,0,IF(N($O40)&gt;=NUTRICION!$C$30,1,0))</f>
        <v>0</v>
      </c>
      <c r="V40" s="27" t="n">
        <f aca="false">IF(COUNTA($D40:$P40)=0,0,IF(N($P40)&gt;=NUTRICION!$C$29,1,0))</f>
        <v>0</v>
      </c>
      <c r="W40" s="10" t="str">
        <f aca="false">IF(COUNTA($D40:$P40)=0,"",SUMPRODUCT($D$2:$K$2,$D40:$K40)+SUMPRODUCT($R$2:$V$2,$R40:$V40))</f>
        <v/>
      </c>
      <c r="X40" s="48" t="str">
        <f aca="false">IF($W40="","",$W40/100)</f>
        <v/>
      </c>
      <c r="Y40" s="14"/>
    </row>
    <row r="41" customFormat="false" ht="15" hidden="false" customHeight="false" outlineLevel="0" collapsed="false">
      <c r="A41" s="44" t="n">
        <v>46309</v>
      </c>
      <c r="B41" s="27" t="s">
        <v>783</v>
      </c>
      <c r="C41" s="39" t="s">
        <v>780</v>
      </c>
      <c r="D41" s="39"/>
      <c r="E41" s="39"/>
      <c r="F41" s="39"/>
      <c r="G41" s="39"/>
      <c r="H41" s="39"/>
      <c r="I41" s="39"/>
      <c r="J41" s="39"/>
      <c r="K41" s="39"/>
      <c r="L41" s="31"/>
      <c r="M41" s="45"/>
      <c r="N41" s="46"/>
      <c r="O41" s="31"/>
      <c r="P41" s="46"/>
      <c r="Q41" s="47" t="n">
        <f aca="false">IF($C41="AYUNO",0,IF($C41="LIGERO",NUTRICION!$C$21,NUTRICION!$C$20))</f>
        <v>2750</v>
      </c>
      <c r="R41" s="27" t="n">
        <f aca="false">IF(COUNTA($D41:$P41)=0,0,IF($C41="AYUNO",IF(N($M41)&lt;=200,1,0),IF(N($L41)&gt;=NUTRICION!$C$23,1,0)))</f>
        <v>0</v>
      </c>
      <c r="S41" s="27" t="n">
        <f aca="false">IF(COUNTA($D41:$P41)=0,0,IF($C41="AYUNO",IF(N($M41)&lt;=200,1,0),IF(AND(N($M41)&gt;=$Q41-150,N($M41)&lt;=$Q41+150),1,0)))</f>
        <v>0</v>
      </c>
      <c r="T41" s="27" t="n">
        <f aca="false">IF(COUNTA($D41:$P41)=0,0,IF(N($N41)&gt;=NUTRICION!$C$27,1,0))</f>
        <v>0</v>
      </c>
      <c r="U41" s="27" t="n">
        <f aca="false">IF(COUNTA($D41:$P41)=0,0,IF(N($O41)&gt;=NUTRICION!$C$30,1,0))</f>
        <v>0</v>
      </c>
      <c r="V41" s="27" t="n">
        <f aca="false">IF(COUNTA($D41:$P41)=0,0,IF(N($P41)&gt;=NUTRICION!$C$29,1,0))</f>
        <v>0</v>
      </c>
      <c r="W41" s="10" t="str">
        <f aca="false">IF(COUNTA($D41:$P41)=0,"",SUMPRODUCT($D$2:$K$2,$D41:$K41)+SUMPRODUCT($R$2:$V$2,$R41:$V41))</f>
        <v/>
      </c>
      <c r="X41" s="48" t="str">
        <f aca="false">IF($W41="","",$W41/100)</f>
        <v/>
      </c>
      <c r="Y41" s="14"/>
    </row>
    <row r="42" customFormat="false" ht="15" hidden="false" customHeight="false" outlineLevel="0" collapsed="false">
      <c r="A42" s="44" t="n">
        <v>46310</v>
      </c>
      <c r="B42" s="27" t="s">
        <v>784</v>
      </c>
      <c r="C42" s="39" t="s">
        <v>780</v>
      </c>
      <c r="D42" s="39"/>
      <c r="E42" s="39"/>
      <c r="F42" s="39"/>
      <c r="G42" s="39"/>
      <c r="H42" s="39"/>
      <c r="I42" s="39"/>
      <c r="J42" s="39"/>
      <c r="K42" s="39"/>
      <c r="L42" s="31"/>
      <c r="M42" s="45"/>
      <c r="N42" s="46"/>
      <c r="O42" s="31"/>
      <c r="P42" s="46"/>
      <c r="Q42" s="47" t="n">
        <f aca="false">IF($C42="AYUNO",0,IF($C42="LIGERO",NUTRICION!$C$21,NUTRICION!$C$20))</f>
        <v>2750</v>
      </c>
      <c r="R42" s="27" t="n">
        <f aca="false">IF(COUNTA($D42:$P42)=0,0,IF($C42="AYUNO",IF(N($M42)&lt;=200,1,0),IF(N($L42)&gt;=NUTRICION!$C$23,1,0)))</f>
        <v>0</v>
      </c>
      <c r="S42" s="27" t="n">
        <f aca="false">IF(COUNTA($D42:$P42)=0,0,IF($C42="AYUNO",IF(N($M42)&lt;=200,1,0),IF(AND(N($M42)&gt;=$Q42-150,N($M42)&lt;=$Q42+150),1,0)))</f>
        <v>0</v>
      </c>
      <c r="T42" s="27" t="n">
        <f aca="false">IF(COUNTA($D42:$P42)=0,0,IF(N($N42)&gt;=NUTRICION!$C$27,1,0))</f>
        <v>0</v>
      </c>
      <c r="U42" s="27" t="n">
        <f aca="false">IF(COUNTA($D42:$P42)=0,0,IF(N($O42)&gt;=NUTRICION!$C$30,1,0))</f>
        <v>0</v>
      </c>
      <c r="V42" s="27" t="n">
        <f aca="false">IF(COUNTA($D42:$P42)=0,0,IF(N($P42)&gt;=NUTRICION!$C$29,1,0))</f>
        <v>0</v>
      </c>
      <c r="W42" s="10" t="str">
        <f aca="false">IF(COUNTA($D42:$P42)=0,"",SUMPRODUCT($D$2:$K$2,$D42:$K42)+SUMPRODUCT($R$2:$V$2,$R42:$V42))</f>
        <v/>
      </c>
      <c r="X42" s="48" t="str">
        <f aca="false">IF($W42="","",$W42/100)</f>
        <v/>
      </c>
      <c r="Y42" s="14"/>
    </row>
    <row r="43" customFormat="false" ht="15" hidden="false" customHeight="false" outlineLevel="0" collapsed="false">
      <c r="A43" s="44" t="n">
        <v>46311</v>
      </c>
      <c r="B43" s="50" t="s">
        <v>785</v>
      </c>
      <c r="C43" s="39" t="s">
        <v>786</v>
      </c>
      <c r="D43" s="39"/>
      <c r="E43" s="39"/>
      <c r="F43" s="39"/>
      <c r="G43" s="39"/>
      <c r="H43" s="39"/>
      <c r="I43" s="39"/>
      <c r="J43" s="39"/>
      <c r="K43" s="39"/>
      <c r="L43" s="31"/>
      <c r="M43" s="45"/>
      <c r="N43" s="46"/>
      <c r="O43" s="31"/>
      <c r="P43" s="46"/>
      <c r="Q43" s="47" t="n">
        <f aca="false">IF($C43="AYUNO",0,IF($C43="LIGERO",NUTRICION!$C$21,NUTRICION!$C$20))</f>
        <v>0</v>
      </c>
      <c r="R43" s="27" t="n">
        <f aca="false">IF(COUNTA($D43:$P43)=0,0,IF($C43="AYUNO",IF(N($M43)&lt;=200,1,0),IF(N($L43)&gt;=NUTRICION!$C$23,1,0)))</f>
        <v>0</v>
      </c>
      <c r="S43" s="27" t="n">
        <f aca="false">IF(COUNTA($D43:$P43)=0,0,IF($C43="AYUNO",IF(N($M43)&lt;=200,1,0),IF(AND(N($M43)&gt;=$Q43-150,N($M43)&lt;=$Q43+150),1,0)))</f>
        <v>0</v>
      </c>
      <c r="T43" s="27" t="n">
        <f aca="false">IF(COUNTA($D43:$P43)=0,0,IF(N($N43)&gt;=NUTRICION!$C$27,1,0))</f>
        <v>0</v>
      </c>
      <c r="U43" s="27" t="n">
        <f aca="false">IF(COUNTA($D43:$P43)=0,0,IF(N($O43)&gt;=NUTRICION!$C$30,1,0))</f>
        <v>0</v>
      </c>
      <c r="V43" s="27" t="n">
        <f aca="false">IF(COUNTA($D43:$P43)=0,0,IF(N($P43)&gt;=NUTRICION!$C$29,1,0))</f>
        <v>0</v>
      </c>
      <c r="W43" s="10" t="str">
        <f aca="false">IF(COUNTA($D43:$P43)=0,"",SUMPRODUCT($D$2:$K$2,$D43:$K43)+SUMPRODUCT($R$2:$V$2,$R43:$V43))</f>
        <v/>
      </c>
      <c r="X43" s="48" t="str">
        <f aca="false">IF($W43="","",$W43/100)</f>
        <v/>
      </c>
      <c r="Y43" s="14"/>
    </row>
    <row r="44" customFormat="false" ht="15" hidden="false" customHeight="false" outlineLevel="0" collapsed="false">
      <c r="A44" s="44" t="n">
        <v>46312</v>
      </c>
      <c r="B44" s="51" t="s">
        <v>787</v>
      </c>
      <c r="C44" s="39" t="s">
        <v>788</v>
      </c>
      <c r="D44" s="39"/>
      <c r="E44" s="39"/>
      <c r="F44" s="39"/>
      <c r="G44" s="39"/>
      <c r="H44" s="39"/>
      <c r="I44" s="39"/>
      <c r="J44" s="39"/>
      <c r="K44" s="39"/>
      <c r="L44" s="31"/>
      <c r="M44" s="45"/>
      <c r="N44" s="46"/>
      <c r="O44" s="31"/>
      <c r="P44" s="46"/>
      <c r="Q44" s="47" t="n">
        <f aca="false">IF($C44="AYUNO",0,IF($C44="LIGERO",NUTRICION!$C$21,NUTRICION!$C$20))</f>
        <v>2450</v>
      </c>
      <c r="R44" s="27" t="n">
        <f aca="false">IF(COUNTA($D44:$P44)=0,0,IF($C44="AYUNO",IF(N($M44)&lt;=200,1,0),IF(N($L44)&gt;=NUTRICION!$C$23,1,0)))</f>
        <v>0</v>
      </c>
      <c r="S44" s="27" t="n">
        <f aca="false">IF(COUNTA($D44:$P44)=0,0,IF($C44="AYUNO",IF(N($M44)&lt;=200,1,0),IF(AND(N($M44)&gt;=$Q44-150,N($M44)&lt;=$Q44+150),1,0)))</f>
        <v>0</v>
      </c>
      <c r="T44" s="27" t="n">
        <f aca="false">IF(COUNTA($D44:$P44)=0,0,IF(N($N44)&gt;=NUTRICION!$C$27,1,0))</f>
        <v>0</v>
      </c>
      <c r="U44" s="27" t="n">
        <f aca="false">IF(COUNTA($D44:$P44)=0,0,IF(N($O44)&gt;=NUTRICION!$C$30,1,0))</f>
        <v>0</v>
      </c>
      <c r="V44" s="27" t="n">
        <f aca="false">IF(COUNTA($D44:$P44)=0,0,IF(N($P44)&gt;=NUTRICION!$C$29,1,0))</f>
        <v>0</v>
      </c>
      <c r="W44" s="10" t="str">
        <f aca="false">IF(COUNTA($D44:$P44)=0,"",SUMPRODUCT($D$2:$K$2,$D44:$K44)+SUMPRODUCT($R$2:$V$2,$R44:$V44))</f>
        <v/>
      </c>
      <c r="X44" s="48" t="str">
        <f aca="false">IF($W44="","",$W44/100)</f>
        <v/>
      </c>
      <c r="Y44" s="14"/>
    </row>
    <row r="45" customFormat="false" ht="15" hidden="false" customHeight="false" outlineLevel="0" collapsed="false">
      <c r="A45" s="44" t="n">
        <v>46313</v>
      </c>
      <c r="B45" s="51" t="s">
        <v>789</v>
      </c>
      <c r="C45" s="39" t="s">
        <v>788</v>
      </c>
      <c r="D45" s="39"/>
      <c r="E45" s="39"/>
      <c r="F45" s="39"/>
      <c r="G45" s="39"/>
      <c r="H45" s="39"/>
      <c r="I45" s="39"/>
      <c r="J45" s="39"/>
      <c r="K45" s="39"/>
      <c r="L45" s="31"/>
      <c r="M45" s="45"/>
      <c r="N45" s="46"/>
      <c r="O45" s="31"/>
      <c r="P45" s="46"/>
      <c r="Q45" s="47" t="n">
        <f aca="false">IF($C45="AYUNO",0,IF($C45="LIGERO",NUTRICION!$C$21,NUTRICION!$C$20))</f>
        <v>2450</v>
      </c>
      <c r="R45" s="27" t="n">
        <f aca="false">IF(COUNTA($D45:$P45)=0,0,IF($C45="AYUNO",IF(N($M45)&lt;=200,1,0),IF(N($L45)&gt;=NUTRICION!$C$23,1,0)))</f>
        <v>0</v>
      </c>
      <c r="S45" s="27" t="n">
        <f aca="false">IF(COUNTA($D45:$P45)=0,0,IF($C45="AYUNO",IF(N($M45)&lt;=200,1,0),IF(AND(N($M45)&gt;=$Q45-150,N($M45)&lt;=$Q45+150),1,0)))</f>
        <v>0</v>
      </c>
      <c r="T45" s="27" t="n">
        <f aca="false">IF(COUNTA($D45:$P45)=0,0,IF(N($N45)&gt;=NUTRICION!$C$27,1,0))</f>
        <v>0</v>
      </c>
      <c r="U45" s="27" t="n">
        <f aca="false">IF(COUNTA($D45:$P45)=0,0,IF(N($O45)&gt;=NUTRICION!$C$30,1,0))</f>
        <v>0</v>
      </c>
      <c r="V45" s="27" t="n">
        <f aca="false">IF(COUNTA($D45:$P45)=0,0,IF(N($P45)&gt;=NUTRICION!$C$29,1,0))</f>
        <v>0</v>
      </c>
      <c r="W45" s="10" t="str">
        <f aca="false">IF(COUNTA($D45:$P45)=0,"",SUMPRODUCT($D$2:$K$2,$D45:$K45)+SUMPRODUCT($R$2:$V$2,$R45:$V45))</f>
        <v/>
      </c>
      <c r="X45" s="48" t="str">
        <f aca="false">IF($W45="","",$W45/100)</f>
        <v/>
      </c>
      <c r="Y45" s="14"/>
    </row>
    <row r="46" customFormat="false" ht="15" hidden="false" customHeight="false" outlineLevel="0" collapsed="false">
      <c r="A46" s="44" t="n">
        <v>46314</v>
      </c>
      <c r="B46" s="27" t="s">
        <v>779</v>
      </c>
      <c r="C46" s="39" t="s">
        <v>780</v>
      </c>
      <c r="D46" s="39"/>
      <c r="E46" s="39"/>
      <c r="F46" s="39"/>
      <c r="G46" s="39"/>
      <c r="H46" s="39"/>
      <c r="I46" s="39"/>
      <c r="J46" s="39"/>
      <c r="K46" s="39"/>
      <c r="L46" s="31"/>
      <c r="M46" s="45"/>
      <c r="N46" s="46"/>
      <c r="O46" s="31"/>
      <c r="P46" s="46"/>
      <c r="Q46" s="47" t="n">
        <f aca="false">IF($C46="AYUNO",0,IF($C46="LIGERO",NUTRICION!$C$21,NUTRICION!$C$20))</f>
        <v>2750</v>
      </c>
      <c r="R46" s="27" t="n">
        <f aca="false">IF(COUNTA($D46:$P46)=0,0,IF($C46="AYUNO",IF(N($M46)&lt;=200,1,0),IF(N($L46)&gt;=NUTRICION!$C$23,1,0)))</f>
        <v>0</v>
      </c>
      <c r="S46" s="27" t="n">
        <f aca="false">IF(COUNTA($D46:$P46)=0,0,IF($C46="AYUNO",IF(N($M46)&lt;=200,1,0),IF(AND(N($M46)&gt;=$Q46-150,N($M46)&lt;=$Q46+150),1,0)))</f>
        <v>0</v>
      </c>
      <c r="T46" s="27" t="n">
        <f aca="false">IF(COUNTA($D46:$P46)=0,0,IF(N($N46)&gt;=NUTRICION!$C$27,1,0))</f>
        <v>0</v>
      </c>
      <c r="U46" s="27" t="n">
        <f aca="false">IF(COUNTA($D46:$P46)=0,0,IF(N($O46)&gt;=NUTRICION!$C$30,1,0))</f>
        <v>0</v>
      </c>
      <c r="V46" s="27" t="n">
        <f aca="false">IF(COUNTA($D46:$P46)=0,0,IF(N($P46)&gt;=NUTRICION!$C$29,1,0))</f>
        <v>0</v>
      </c>
      <c r="W46" s="10" t="str">
        <f aca="false">IF(COUNTA($D46:$P46)=0,"",SUMPRODUCT($D$2:$K$2,$D46:$K46)+SUMPRODUCT($R$2:$V$2,$R46:$V46))</f>
        <v/>
      </c>
      <c r="X46" s="48" t="str">
        <f aca="false">IF($W46="","",$W46/100)</f>
        <v/>
      </c>
      <c r="Y46" s="14"/>
    </row>
    <row r="47" customFormat="false" ht="15" hidden="false" customHeight="false" outlineLevel="0" collapsed="false">
      <c r="A47" s="44" t="n">
        <v>46315</v>
      </c>
      <c r="B47" s="27" t="s">
        <v>782</v>
      </c>
      <c r="C47" s="39" t="s">
        <v>780</v>
      </c>
      <c r="D47" s="39"/>
      <c r="E47" s="39"/>
      <c r="F47" s="39"/>
      <c r="G47" s="39"/>
      <c r="H47" s="39"/>
      <c r="I47" s="39"/>
      <c r="J47" s="39"/>
      <c r="K47" s="39"/>
      <c r="L47" s="31"/>
      <c r="M47" s="45"/>
      <c r="N47" s="46"/>
      <c r="O47" s="31"/>
      <c r="P47" s="46"/>
      <c r="Q47" s="47" t="n">
        <f aca="false">IF($C47="AYUNO",0,IF($C47="LIGERO",NUTRICION!$C$21,NUTRICION!$C$20))</f>
        <v>2750</v>
      </c>
      <c r="R47" s="27" t="n">
        <f aca="false">IF(COUNTA($D47:$P47)=0,0,IF($C47="AYUNO",IF(N($M47)&lt;=200,1,0),IF(N($L47)&gt;=NUTRICION!$C$23,1,0)))</f>
        <v>0</v>
      </c>
      <c r="S47" s="27" t="n">
        <f aca="false">IF(COUNTA($D47:$P47)=0,0,IF($C47="AYUNO",IF(N($M47)&lt;=200,1,0),IF(AND(N($M47)&gt;=$Q47-150,N($M47)&lt;=$Q47+150),1,0)))</f>
        <v>0</v>
      </c>
      <c r="T47" s="27" t="n">
        <f aca="false">IF(COUNTA($D47:$P47)=0,0,IF(N($N47)&gt;=NUTRICION!$C$27,1,0))</f>
        <v>0</v>
      </c>
      <c r="U47" s="27" t="n">
        <f aca="false">IF(COUNTA($D47:$P47)=0,0,IF(N($O47)&gt;=NUTRICION!$C$30,1,0))</f>
        <v>0</v>
      </c>
      <c r="V47" s="27" t="n">
        <f aca="false">IF(COUNTA($D47:$P47)=0,0,IF(N($P47)&gt;=NUTRICION!$C$29,1,0))</f>
        <v>0</v>
      </c>
      <c r="W47" s="10" t="str">
        <f aca="false">IF(COUNTA($D47:$P47)=0,"",SUMPRODUCT($D$2:$K$2,$D47:$K47)+SUMPRODUCT($R$2:$V$2,$R47:$V47))</f>
        <v/>
      </c>
      <c r="X47" s="48" t="str">
        <f aca="false">IF($W47="","",$W47/100)</f>
        <v/>
      </c>
      <c r="Y47" s="14"/>
    </row>
    <row r="48" customFormat="false" ht="15" hidden="false" customHeight="false" outlineLevel="0" collapsed="false">
      <c r="A48" s="44" t="n">
        <v>46316</v>
      </c>
      <c r="B48" s="27" t="s">
        <v>783</v>
      </c>
      <c r="C48" s="39" t="s">
        <v>780</v>
      </c>
      <c r="D48" s="39"/>
      <c r="E48" s="39"/>
      <c r="F48" s="39"/>
      <c r="G48" s="39"/>
      <c r="H48" s="39"/>
      <c r="I48" s="39"/>
      <c r="J48" s="39"/>
      <c r="K48" s="39"/>
      <c r="L48" s="31"/>
      <c r="M48" s="45"/>
      <c r="N48" s="46"/>
      <c r="O48" s="31"/>
      <c r="P48" s="46"/>
      <c r="Q48" s="47" t="n">
        <f aca="false">IF($C48="AYUNO",0,IF($C48="LIGERO",NUTRICION!$C$21,NUTRICION!$C$20))</f>
        <v>2750</v>
      </c>
      <c r="R48" s="27" t="n">
        <f aca="false">IF(COUNTA($D48:$P48)=0,0,IF($C48="AYUNO",IF(N($M48)&lt;=200,1,0),IF(N($L48)&gt;=NUTRICION!$C$23,1,0)))</f>
        <v>0</v>
      </c>
      <c r="S48" s="27" t="n">
        <f aca="false">IF(COUNTA($D48:$P48)=0,0,IF($C48="AYUNO",IF(N($M48)&lt;=200,1,0),IF(AND(N($M48)&gt;=$Q48-150,N($M48)&lt;=$Q48+150),1,0)))</f>
        <v>0</v>
      </c>
      <c r="T48" s="27" t="n">
        <f aca="false">IF(COUNTA($D48:$P48)=0,0,IF(N($N48)&gt;=NUTRICION!$C$27,1,0))</f>
        <v>0</v>
      </c>
      <c r="U48" s="27" t="n">
        <f aca="false">IF(COUNTA($D48:$P48)=0,0,IF(N($O48)&gt;=NUTRICION!$C$30,1,0))</f>
        <v>0</v>
      </c>
      <c r="V48" s="27" t="n">
        <f aca="false">IF(COUNTA($D48:$P48)=0,0,IF(N($P48)&gt;=NUTRICION!$C$29,1,0))</f>
        <v>0</v>
      </c>
      <c r="W48" s="10" t="str">
        <f aca="false">IF(COUNTA($D48:$P48)=0,"",SUMPRODUCT($D$2:$K$2,$D48:$K48)+SUMPRODUCT($R$2:$V$2,$R48:$V48))</f>
        <v/>
      </c>
      <c r="X48" s="48" t="str">
        <f aca="false">IF($W48="","",$W48/100)</f>
        <v/>
      </c>
      <c r="Y48" s="14"/>
    </row>
    <row r="49" customFormat="false" ht="15" hidden="false" customHeight="false" outlineLevel="0" collapsed="false">
      <c r="A49" s="44" t="n">
        <v>46317</v>
      </c>
      <c r="B49" s="27" t="s">
        <v>784</v>
      </c>
      <c r="C49" s="39" t="s">
        <v>780</v>
      </c>
      <c r="D49" s="39"/>
      <c r="E49" s="39"/>
      <c r="F49" s="39"/>
      <c r="G49" s="39"/>
      <c r="H49" s="39"/>
      <c r="I49" s="39"/>
      <c r="J49" s="39"/>
      <c r="K49" s="39"/>
      <c r="L49" s="31"/>
      <c r="M49" s="45"/>
      <c r="N49" s="46"/>
      <c r="O49" s="31"/>
      <c r="P49" s="46"/>
      <c r="Q49" s="47" t="n">
        <f aca="false">IF($C49="AYUNO",0,IF($C49="LIGERO",NUTRICION!$C$21,NUTRICION!$C$20))</f>
        <v>2750</v>
      </c>
      <c r="R49" s="27" t="n">
        <f aca="false">IF(COUNTA($D49:$P49)=0,0,IF($C49="AYUNO",IF(N($M49)&lt;=200,1,0),IF(N($L49)&gt;=NUTRICION!$C$23,1,0)))</f>
        <v>0</v>
      </c>
      <c r="S49" s="27" t="n">
        <f aca="false">IF(COUNTA($D49:$P49)=0,0,IF($C49="AYUNO",IF(N($M49)&lt;=200,1,0),IF(AND(N($M49)&gt;=$Q49-150,N($M49)&lt;=$Q49+150),1,0)))</f>
        <v>0</v>
      </c>
      <c r="T49" s="27" t="n">
        <f aca="false">IF(COUNTA($D49:$P49)=0,0,IF(N($N49)&gt;=NUTRICION!$C$27,1,0))</f>
        <v>0</v>
      </c>
      <c r="U49" s="27" t="n">
        <f aca="false">IF(COUNTA($D49:$P49)=0,0,IF(N($O49)&gt;=NUTRICION!$C$30,1,0))</f>
        <v>0</v>
      </c>
      <c r="V49" s="27" t="n">
        <f aca="false">IF(COUNTA($D49:$P49)=0,0,IF(N($P49)&gt;=NUTRICION!$C$29,1,0))</f>
        <v>0</v>
      </c>
      <c r="W49" s="10" t="str">
        <f aca="false">IF(COUNTA($D49:$P49)=0,"",SUMPRODUCT($D$2:$K$2,$D49:$K49)+SUMPRODUCT($R$2:$V$2,$R49:$V49))</f>
        <v/>
      </c>
      <c r="X49" s="48" t="str">
        <f aca="false">IF($W49="","",$W49/100)</f>
        <v/>
      </c>
      <c r="Y49" s="14"/>
    </row>
    <row r="50" customFormat="false" ht="15" hidden="false" customHeight="false" outlineLevel="0" collapsed="false">
      <c r="A50" s="44" t="n">
        <v>46318</v>
      </c>
      <c r="B50" s="50" t="s">
        <v>785</v>
      </c>
      <c r="C50" s="39" t="s">
        <v>786</v>
      </c>
      <c r="D50" s="39"/>
      <c r="E50" s="39"/>
      <c r="F50" s="39"/>
      <c r="G50" s="39"/>
      <c r="H50" s="39"/>
      <c r="I50" s="39"/>
      <c r="J50" s="39"/>
      <c r="K50" s="39"/>
      <c r="L50" s="31"/>
      <c r="M50" s="45"/>
      <c r="N50" s="46"/>
      <c r="O50" s="31"/>
      <c r="P50" s="46"/>
      <c r="Q50" s="47" t="n">
        <f aca="false">IF($C50="AYUNO",0,IF($C50="LIGERO",NUTRICION!$C$21,NUTRICION!$C$20))</f>
        <v>0</v>
      </c>
      <c r="R50" s="27" t="n">
        <f aca="false">IF(COUNTA($D50:$P50)=0,0,IF($C50="AYUNO",IF(N($M50)&lt;=200,1,0),IF(N($L50)&gt;=NUTRICION!$C$23,1,0)))</f>
        <v>0</v>
      </c>
      <c r="S50" s="27" t="n">
        <f aca="false">IF(COUNTA($D50:$P50)=0,0,IF($C50="AYUNO",IF(N($M50)&lt;=200,1,0),IF(AND(N($M50)&gt;=$Q50-150,N($M50)&lt;=$Q50+150),1,0)))</f>
        <v>0</v>
      </c>
      <c r="T50" s="27" t="n">
        <f aca="false">IF(COUNTA($D50:$P50)=0,0,IF(N($N50)&gt;=NUTRICION!$C$27,1,0))</f>
        <v>0</v>
      </c>
      <c r="U50" s="27" t="n">
        <f aca="false">IF(COUNTA($D50:$P50)=0,0,IF(N($O50)&gt;=NUTRICION!$C$30,1,0))</f>
        <v>0</v>
      </c>
      <c r="V50" s="27" t="n">
        <f aca="false">IF(COUNTA($D50:$P50)=0,0,IF(N($P50)&gt;=NUTRICION!$C$29,1,0))</f>
        <v>0</v>
      </c>
      <c r="W50" s="10" t="str">
        <f aca="false">IF(COUNTA($D50:$P50)=0,"",SUMPRODUCT($D$2:$K$2,$D50:$K50)+SUMPRODUCT($R$2:$V$2,$R50:$V50))</f>
        <v/>
      </c>
      <c r="X50" s="48" t="str">
        <f aca="false">IF($W50="","",$W50/100)</f>
        <v/>
      </c>
      <c r="Y50" s="14"/>
    </row>
    <row r="51" customFormat="false" ht="15" hidden="false" customHeight="false" outlineLevel="0" collapsed="false">
      <c r="A51" s="44" t="n">
        <v>46319</v>
      </c>
      <c r="B51" s="51" t="s">
        <v>787</v>
      </c>
      <c r="C51" s="39" t="s">
        <v>788</v>
      </c>
      <c r="D51" s="39"/>
      <c r="E51" s="39"/>
      <c r="F51" s="39"/>
      <c r="G51" s="39"/>
      <c r="H51" s="39"/>
      <c r="I51" s="39"/>
      <c r="J51" s="39"/>
      <c r="K51" s="39"/>
      <c r="L51" s="31"/>
      <c r="M51" s="45"/>
      <c r="N51" s="46"/>
      <c r="O51" s="31"/>
      <c r="P51" s="46"/>
      <c r="Q51" s="47" t="n">
        <f aca="false">IF($C51="AYUNO",0,IF($C51="LIGERO",NUTRICION!$C$21,NUTRICION!$C$20))</f>
        <v>2450</v>
      </c>
      <c r="R51" s="27" t="n">
        <f aca="false">IF(COUNTA($D51:$P51)=0,0,IF($C51="AYUNO",IF(N($M51)&lt;=200,1,0),IF(N($L51)&gt;=NUTRICION!$C$23,1,0)))</f>
        <v>0</v>
      </c>
      <c r="S51" s="27" t="n">
        <f aca="false">IF(COUNTA($D51:$P51)=0,0,IF($C51="AYUNO",IF(N($M51)&lt;=200,1,0),IF(AND(N($M51)&gt;=$Q51-150,N($M51)&lt;=$Q51+150),1,0)))</f>
        <v>0</v>
      </c>
      <c r="T51" s="27" t="n">
        <f aca="false">IF(COUNTA($D51:$P51)=0,0,IF(N($N51)&gt;=NUTRICION!$C$27,1,0))</f>
        <v>0</v>
      </c>
      <c r="U51" s="27" t="n">
        <f aca="false">IF(COUNTA($D51:$P51)=0,0,IF(N($O51)&gt;=NUTRICION!$C$30,1,0))</f>
        <v>0</v>
      </c>
      <c r="V51" s="27" t="n">
        <f aca="false">IF(COUNTA($D51:$P51)=0,0,IF(N($P51)&gt;=NUTRICION!$C$29,1,0))</f>
        <v>0</v>
      </c>
      <c r="W51" s="10" t="str">
        <f aca="false">IF(COUNTA($D51:$P51)=0,"",SUMPRODUCT($D$2:$K$2,$D51:$K51)+SUMPRODUCT($R$2:$V$2,$R51:$V51))</f>
        <v/>
      </c>
      <c r="X51" s="48" t="str">
        <f aca="false">IF($W51="","",$W51/100)</f>
        <v/>
      </c>
      <c r="Y51" s="14"/>
    </row>
    <row r="52" customFormat="false" ht="15" hidden="false" customHeight="false" outlineLevel="0" collapsed="false">
      <c r="A52" s="44" t="n">
        <v>46320</v>
      </c>
      <c r="B52" s="51" t="s">
        <v>789</v>
      </c>
      <c r="C52" s="39" t="s">
        <v>788</v>
      </c>
      <c r="D52" s="39"/>
      <c r="E52" s="39"/>
      <c r="F52" s="39"/>
      <c r="G52" s="39"/>
      <c r="H52" s="39"/>
      <c r="I52" s="39"/>
      <c r="J52" s="39"/>
      <c r="K52" s="39"/>
      <c r="L52" s="31"/>
      <c r="M52" s="45"/>
      <c r="N52" s="46"/>
      <c r="O52" s="31"/>
      <c r="P52" s="46"/>
      <c r="Q52" s="47" t="n">
        <f aca="false">IF($C52="AYUNO",0,IF($C52="LIGERO",NUTRICION!$C$21,NUTRICION!$C$20))</f>
        <v>2450</v>
      </c>
      <c r="R52" s="27" t="n">
        <f aca="false">IF(COUNTA($D52:$P52)=0,0,IF($C52="AYUNO",IF(N($M52)&lt;=200,1,0),IF(N($L52)&gt;=NUTRICION!$C$23,1,0)))</f>
        <v>0</v>
      </c>
      <c r="S52" s="27" t="n">
        <f aca="false">IF(COUNTA($D52:$P52)=0,0,IF($C52="AYUNO",IF(N($M52)&lt;=200,1,0),IF(AND(N($M52)&gt;=$Q52-150,N($M52)&lt;=$Q52+150),1,0)))</f>
        <v>0</v>
      </c>
      <c r="T52" s="27" t="n">
        <f aca="false">IF(COUNTA($D52:$P52)=0,0,IF(N($N52)&gt;=NUTRICION!$C$27,1,0))</f>
        <v>0</v>
      </c>
      <c r="U52" s="27" t="n">
        <f aca="false">IF(COUNTA($D52:$P52)=0,0,IF(N($O52)&gt;=NUTRICION!$C$30,1,0))</f>
        <v>0</v>
      </c>
      <c r="V52" s="27" t="n">
        <f aca="false">IF(COUNTA($D52:$P52)=0,0,IF(N($P52)&gt;=NUTRICION!$C$29,1,0))</f>
        <v>0</v>
      </c>
      <c r="W52" s="10" t="str">
        <f aca="false">IF(COUNTA($D52:$P52)=0,"",SUMPRODUCT($D$2:$K$2,$D52:$K52)+SUMPRODUCT($R$2:$V$2,$R52:$V52))</f>
        <v/>
      </c>
      <c r="X52" s="48" t="str">
        <f aca="false">IF($W52="","",$W52/100)</f>
        <v/>
      </c>
      <c r="Y52" s="14"/>
    </row>
    <row r="53" customFormat="false" ht="15" hidden="false" customHeight="false" outlineLevel="0" collapsed="false">
      <c r="A53" s="44" t="n">
        <v>46321</v>
      </c>
      <c r="B53" s="27" t="s">
        <v>779</v>
      </c>
      <c r="C53" s="39" t="s">
        <v>780</v>
      </c>
      <c r="D53" s="39"/>
      <c r="E53" s="39"/>
      <c r="F53" s="39"/>
      <c r="G53" s="39"/>
      <c r="H53" s="39"/>
      <c r="I53" s="39"/>
      <c r="J53" s="39"/>
      <c r="K53" s="39"/>
      <c r="L53" s="31"/>
      <c r="M53" s="45"/>
      <c r="N53" s="46"/>
      <c r="O53" s="31"/>
      <c r="P53" s="46"/>
      <c r="Q53" s="47" t="n">
        <f aca="false">IF($C53="AYUNO",0,IF($C53="LIGERO",NUTRICION!$C$21,NUTRICION!$C$20))</f>
        <v>2750</v>
      </c>
      <c r="R53" s="27" t="n">
        <f aca="false">IF(COUNTA($D53:$P53)=0,0,IF($C53="AYUNO",IF(N($M53)&lt;=200,1,0),IF(N($L53)&gt;=NUTRICION!$C$23,1,0)))</f>
        <v>0</v>
      </c>
      <c r="S53" s="27" t="n">
        <f aca="false">IF(COUNTA($D53:$P53)=0,0,IF($C53="AYUNO",IF(N($M53)&lt;=200,1,0),IF(AND(N($M53)&gt;=$Q53-150,N($M53)&lt;=$Q53+150),1,0)))</f>
        <v>0</v>
      </c>
      <c r="T53" s="27" t="n">
        <f aca="false">IF(COUNTA($D53:$P53)=0,0,IF(N($N53)&gt;=NUTRICION!$C$27,1,0))</f>
        <v>0</v>
      </c>
      <c r="U53" s="27" t="n">
        <f aca="false">IF(COUNTA($D53:$P53)=0,0,IF(N($O53)&gt;=NUTRICION!$C$30,1,0))</f>
        <v>0</v>
      </c>
      <c r="V53" s="27" t="n">
        <f aca="false">IF(COUNTA($D53:$P53)=0,0,IF(N($P53)&gt;=NUTRICION!$C$29,1,0))</f>
        <v>0</v>
      </c>
      <c r="W53" s="10" t="str">
        <f aca="false">IF(COUNTA($D53:$P53)=0,"",SUMPRODUCT($D$2:$K$2,$D53:$K53)+SUMPRODUCT($R$2:$V$2,$R53:$V53))</f>
        <v/>
      </c>
      <c r="X53" s="48" t="str">
        <f aca="false">IF($W53="","",$W53/100)</f>
        <v/>
      </c>
      <c r="Y53" s="14"/>
    </row>
    <row r="54" customFormat="false" ht="15" hidden="false" customHeight="false" outlineLevel="0" collapsed="false">
      <c r="A54" s="44" t="n">
        <v>46322</v>
      </c>
      <c r="B54" s="27" t="s">
        <v>782</v>
      </c>
      <c r="C54" s="39" t="s">
        <v>780</v>
      </c>
      <c r="D54" s="39"/>
      <c r="E54" s="39"/>
      <c r="F54" s="39"/>
      <c r="G54" s="39"/>
      <c r="H54" s="39"/>
      <c r="I54" s="39"/>
      <c r="J54" s="39"/>
      <c r="K54" s="39"/>
      <c r="L54" s="31"/>
      <c r="M54" s="45"/>
      <c r="N54" s="46"/>
      <c r="O54" s="31"/>
      <c r="P54" s="46"/>
      <c r="Q54" s="47" t="n">
        <f aca="false">IF($C54="AYUNO",0,IF($C54="LIGERO",NUTRICION!$C$21,NUTRICION!$C$20))</f>
        <v>2750</v>
      </c>
      <c r="R54" s="27" t="n">
        <f aca="false">IF(COUNTA($D54:$P54)=0,0,IF($C54="AYUNO",IF(N($M54)&lt;=200,1,0),IF(N($L54)&gt;=NUTRICION!$C$23,1,0)))</f>
        <v>0</v>
      </c>
      <c r="S54" s="27" t="n">
        <f aca="false">IF(COUNTA($D54:$P54)=0,0,IF($C54="AYUNO",IF(N($M54)&lt;=200,1,0),IF(AND(N($M54)&gt;=$Q54-150,N($M54)&lt;=$Q54+150),1,0)))</f>
        <v>0</v>
      </c>
      <c r="T54" s="27" t="n">
        <f aca="false">IF(COUNTA($D54:$P54)=0,0,IF(N($N54)&gt;=NUTRICION!$C$27,1,0))</f>
        <v>0</v>
      </c>
      <c r="U54" s="27" t="n">
        <f aca="false">IF(COUNTA($D54:$P54)=0,0,IF(N($O54)&gt;=NUTRICION!$C$30,1,0))</f>
        <v>0</v>
      </c>
      <c r="V54" s="27" t="n">
        <f aca="false">IF(COUNTA($D54:$P54)=0,0,IF(N($P54)&gt;=NUTRICION!$C$29,1,0))</f>
        <v>0</v>
      </c>
      <c r="W54" s="10" t="str">
        <f aca="false">IF(COUNTA($D54:$P54)=0,"",SUMPRODUCT($D$2:$K$2,$D54:$K54)+SUMPRODUCT($R$2:$V$2,$R54:$V54))</f>
        <v/>
      </c>
      <c r="X54" s="48" t="str">
        <f aca="false">IF($W54="","",$W54/100)</f>
        <v/>
      </c>
      <c r="Y54" s="14"/>
    </row>
    <row r="55" customFormat="false" ht="15" hidden="false" customHeight="false" outlineLevel="0" collapsed="false">
      <c r="A55" s="44" t="n">
        <v>46323</v>
      </c>
      <c r="B55" s="27" t="s">
        <v>783</v>
      </c>
      <c r="C55" s="39" t="s">
        <v>780</v>
      </c>
      <c r="D55" s="39"/>
      <c r="E55" s="39"/>
      <c r="F55" s="39"/>
      <c r="G55" s="39"/>
      <c r="H55" s="39"/>
      <c r="I55" s="39"/>
      <c r="J55" s="39"/>
      <c r="K55" s="39"/>
      <c r="L55" s="31"/>
      <c r="M55" s="45"/>
      <c r="N55" s="46"/>
      <c r="O55" s="31"/>
      <c r="P55" s="46"/>
      <c r="Q55" s="47" t="n">
        <f aca="false">IF($C55="AYUNO",0,IF($C55="LIGERO",NUTRICION!$C$21,NUTRICION!$C$20))</f>
        <v>2750</v>
      </c>
      <c r="R55" s="27" t="n">
        <f aca="false">IF(COUNTA($D55:$P55)=0,0,IF($C55="AYUNO",IF(N($M55)&lt;=200,1,0),IF(N($L55)&gt;=NUTRICION!$C$23,1,0)))</f>
        <v>0</v>
      </c>
      <c r="S55" s="27" t="n">
        <f aca="false">IF(COUNTA($D55:$P55)=0,0,IF($C55="AYUNO",IF(N($M55)&lt;=200,1,0),IF(AND(N($M55)&gt;=$Q55-150,N($M55)&lt;=$Q55+150),1,0)))</f>
        <v>0</v>
      </c>
      <c r="T55" s="27" t="n">
        <f aca="false">IF(COUNTA($D55:$P55)=0,0,IF(N($N55)&gt;=NUTRICION!$C$27,1,0))</f>
        <v>0</v>
      </c>
      <c r="U55" s="27" t="n">
        <f aca="false">IF(COUNTA($D55:$P55)=0,0,IF(N($O55)&gt;=NUTRICION!$C$30,1,0))</f>
        <v>0</v>
      </c>
      <c r="V55" s="27" t="n">
        <f aca="false">IF(COUNTA($D55:$P55)=0,0,IF(N($P55)&gt;=NUTRICION!$C$29,1,0))</f>
        <v>0</v>
      </c>
      <c r="W55" s="10" t="str">
        <f aca="false">IF(COUNTA($D55:$P55)=0,"",SUMPRODUCT($D$2:$K$2,$D55:$K55)+SUMPRODUCT($R$2:$V$2,$R55:$V55))</f>
        <v/>
      </c>
      <c r="X55" s="48" t="str">
        <f aca="false">IF($W55="","",$W55/100)</f>
        <v/>
      </c>
      <c r="Y55" s="14"/>
    </row>
    <row r="56" customFormat="false" ht="15" hidden="false" customHeight="false" outlineLevel="0" collapsed="false">
      <c r="A56" s="44" t="n">
        <v>46324</v>
      </c>
      <c r="B56" s="27" t="s">
        <v>784</v>
      </c>
      <c r="C56" s="39" t="s">
        <v>780</v>
      </c>
      <c r="D56" s="39"/>
      <c r="E56" s="39"/>
      <c r="F56" s="39"/>
      <c r="G56" s="39"/>
      <c r="H56" s="39"/>
      <c r="I56" s="39"/>
      <c r="J56" s="39"/>
      <c r="K56" s="39"/>
      <c r="L56" s="31"/>
      <c r="M56" s="45"/>
      <c r="N56" s="46"/>
      <c r="O56" s="31"/>
      <c r="P56" s="46"/>
      <c r="Q56" s="47" t="n">
        <f aca="false">IF($C56="AYUNO",0,IF($C56="LIGERO",NUTRICION!$C$21,NUTRICION!$C$20))</f>
        <v>2750</v>
      </c>
      <c r="R56" s="27" t="n">
        <f aca="false">IF(COUNTA($D56:$P56)=0,0,IF($C56="AYUNO",IF(N($M56)&lt;=200,1,0),IF(N($L56)&gt;=NUTRICION!$C$23,1,0)))</f>
        <v>0</v>
      </c>
      <c r="S56" s="27" t="n">
        <f aca="false">IF(COUNTA($D56:$P56)=0,0,IF($C56="AYUNO",IF(N($M56)&lt;=200,1,0),IF(AND(N($M56)&gt;=$Q56-150,N($M56)&lt;=$Q56+150),1,0)))</f>
        <v>0</v>
      </c>
      <c r="T56" s="27" t="n">
        <f aca="false">IF(COUNTA($D56:$P56)=0,0,IF(N($N56)&gt;=NUTRICION!$C$27,1,0))</f>
        <v>0</v>
      </c>
      <c r="U56" s="27" t="n">
        <f aca="false">IF(COUNTA($D56:$P56)=0,0,IF(N($O56)&gt;=NUTRICION!$C$30,1,0))</f>
        <v>0</v>
      </c>
      <c r="V56" s="27" t="n">
        <f aca="false">IF(COUNTA($D56:$P56)=0,0,IF(N($P56)&gt;=NUTRICION!$C$29,1,0))</f>
        <v>0</v>
      </c>
      <c r="W56" s="10" t="str">
        <f aca="false">IF(COUNTA($D56:$P56)=0,"",SUMPRODUCT($D$2:$K$2,$D56:$K56)+SUMPRODUCT($R$2:$V$2,$R56:$V56))</f>
        <v/>
      </c>
      <c r="X56" s="48" t="str">
        <f aca="false">IF($W56="","",$W56/100)</f>
        <v/>
      </c>
      <c r="Y56" s="14"/>
    </row>
    <row r="57" customFormat="false" ht="15" hidden="false" customHeight="false" outlineLevel="0" collapsed="false">
      <c r="A57" s="44" t="n">
        <v>46325</v>
      </c>
      <c r="B57" s="50" t="s">
        <v>785</v>
      </c>
      <c r="C57" s="39" t="s">
        <v>786</v>
      </c>
      <c r="D57" s="39"/>
      <c r="E57" s="39"/>
      <c r="F57" s="39"/>
      <c r="G57" s="39"/>
      <c r="H57" s="39"/>
      <c r="I57" s="39"/>
      <c r="J57" s="39"/>
      <c r="K57" s="39"/>
      <c r="L57" s="31"/>
      <c r="M57" s="45"/>
      <c r="N57" s="46"/>
      <c r="O57" s="31"/>
      <c r="P57" s="46"/>
      <c r="Q57" s="47" t="n">
        <f aca="false">IF($C57="AYUNO",0,IF($C57="LIGERO",NUTRICION!$C$21,NUTRICION!$C$20))</f>
        <v>0</v>
      </c>
      <c r="R57" s="27" t="n">
        <f aca="false">IF(COUNTA($D57:$P57)=0,0,IF($C57="AYUNO",IF(N($M57)&lt;=200,1,0),IF(N($L57)&gt;=NUTRICION!$C$23,1,0)))</f>
        <v>0</v>
      </c>
      <c r="S57" s="27" t="n">
        <f aca="false">IF(COUNTA($D57:$P57)=0,0,IF($C57="AYUNO",IF(N($M57)&lt;=200,1,0),IF(AND(N($M57)&gt;=$Q57-150,N($M57)&lt;=$Q57+150),1,0)))</f>
        <v>0</v>
      </c>
      <c r="T57" s="27" t="n">
        <f aca="false">IF(COUNTA($D57:$P57)=0,0,IF(N($N57)&gt;=NUTRICION!$C$27,1,0))</f>
        <v>0</v>
      </c>
      <c r="U57" s="27" t="n">
        <f aca="false">IF(COUNTA($D57:$P57)=0,0,IF(N($O57)&gt;=NUTRICION!$C$30,1,0))</f>
        <v>0</v>
      </c>
      <c r="V57" s="27" t="n">
        <f aca="false">IF(COUNTA($D57:$P57)=0,0,IF(N($P57)&gt;=NUTRICION!$C$29,1,0))</f>
        <v>0</v>
      </c>
      <c r="W57" s="10" t="str">
        <f aca="false">IF(COUNTA($D57:$P57)=0,"",SUMPRODUCT($D$2:$K$2,$D57:$K57)+SUMPRODUCT($R$2:$V$2,$R57:$V57))</f>
        <v/>
      </c>
      <c r="X57" s="48" t="str">
        <f aca="false">IF($W57="","",$W57/100)</f>
        <v/>
      </c>
      <c r="Y57" s="14"/>
    </row>
    <row r="58" customFormat="false" ht="15" hidden="false" customHeight="false" outlineLevel="0" collapsed="false">
      <c r="A58" s="44" t="n">
        <v>46326</v>
      </c>
      <c r="B58" s="51" t="s">
        <v>787</v>
      </c>
      <c r="C58" s="39" t="s">
        <v>788</v>
      </c>
      <c r="D58" s="39"/>
      <c r="E58" s="39"/>
      <c r="F58" s="39"/>
      <c r="G58" s="39"/>
      <c r="H58" s="39"/>
      <c r="I58" s="39"/>
      <c r="J58" s="39"/>
      <c r="K58" s="39"/>
      <c r="L58" s="31"/>
      <c r="M58" s="45"/>
      <c r="N58" s="46"/>
      <c r="O58" s="31"/>
      <c r="P58" s="46"/>
      <c r="Q58" s="47" t="n">
        <f aca="false">IF($C58="AYUNO",0,IF($C58="LIGERO",NUTRICION!$C$21,NUTRICION!$C$20))</f>
        <v>2450</v>
      </c>
      <c r="R58" s="27" t="n">
        <f aca="false">IF(COUNTA($D58:$P58)=0,0,IF($C58="AYUNO",IF(N($M58)&lt;=200,1,0),IF(N($L58)&gt;=NUTRICION!$C$23,1,0)))</f>
        <v>0</v>
      </c>
      <c r="S58" s="27" t="n">
        <f aca="false">IF(COUNTA($D58:$P58)=0,0,IF($C58="AYUNO",IF(N($M58)&lt;=200,1,0),IF(AND(N($M58)&gt;=$Q58-150,N($M58)&lt;=$Q58+150),1,0)))</f>
        <v>0</v>
      </c>
      <c r="T58" s="27" t="n">
        <f aca="false">IF(COUNTA($D58:$P58)=0,0,IF(N($N58)&gt;=NUTRICION!$C$27,1,0))</f>
        <v>0</v>
      </c>
      <c r="U58" s="27" t="n">
        <f aca="false">IF(COUNTA($D58:$P58)=0,0,IF(N($O58)&gt;=NUTRICION!$C$30,1,0))</f>
        <v>0</v>
      </c>
      <c r="V58" s="27" t="n">
        <f aca="false">IF(COUNTA($D58:$P58)=0,0,IF(N($P58)&gt;=NUTRICION!$C$29,1,0))</f>
        <v>0</v>
      </c>
      <c r="W58" s="10" t="str">
        <f aca="false">IF(COUNTA($D58:$P58)=0,"",SUMPRODUCT($D$2:$K$2,$D58:$K58)+SUMPRODUCT($R$2:$V$2,$R58:$V58))</f>
        <v/>
      </c>
      <c r="X58" s="48" t="str">
        <f aca="false">IF($W58="","",$W58/100)</f>
        <v/>
      </c>
      <c r="Y58" s="14"/>
    </row>
    <row r="59" customFormat="false" ht="15" hidden="false" customHeight="false" outlineLevel="0" collapsed="false">
      <c r="A59" s="44" t="n">
        <v>46327</v>
      </c>
      <c r="B59" s="51" t="s">
        <v>789</v>
      </c>
      <c r="C59" s="39" t="s">
        <v>788</v>
      </c>
      <c r="D59" s="39"/>
      <c r="E59" s="39"/>
      <c r="F59" s="39"/>
      <c r="G59" s="39"/>
      <c r="H59" s="39"/>
      <c r="I59" s="39"/>
      <c r="J59" s="39"/>
      <c r="K59" s="39"/>
      <c r="L59" s="31"/>
      <c r="M59" s="45"/>
      <c r="N59" s="46"/>
      <c r="O59" s="31"/>
      <c r="P59" s="46"/>
      <c r="Q59" s="47" t="n">
        <f aca="false">IF($C59="AYUNO",0,IF($C59="LIGERO",NUTRICION!$C$21,NUTRICION!$C$20))</f>
        <v>2450</v>
      </c>
      <c r="R59" s="27" t="n">
        <f aca="false">IF(COUNTA($D59:$P59)=0,0,IF($C59="AYUNO",IF(N($M59)&lt;=200,1,0),IF(N($L59)&gt;=NUTRICION!$C$23,1,0)))</f>
        <v>0</v>
      </c>
      <c r="S59" s="27" t="n">
        <f aca="false">IF(COUNTA($D59:$P59)=0,0,IF($C59="AYUNO",IF(N($M59)&lt;=200,1,0),IF(AND(N($M59)&gt;=$Q59-150,N($M59)&lt;=$Q59+150),1,0)))</f>
        <v>0</v>
      </c>
      <c r="T59" s="27" t="n">
        <f aca="false">IF(COUNTA($D59:$P59)=0,0,IF(N($N59)&gt;=NUTRICION!$C$27,1,0))</f>
        <v>0</v>
      </c>
      <c r="U59" s="27" t="n">
        <f aca="false">IF(COUNTA($D59:$P59)=0,0,IF(N($O59)&gt;=NUTRICION!$C$30,1,0))</f>
        <v>0</v>
      </c>
      <c r="V59" s="27" t="n">
        <f aca="false">IF(COUNTA($D59:$P59)=0,0,IF(N($P59)&gt;=NUTRICION!$C$29,1,0))</f>
        <v>0</v>
      </c>
      <c r="W59" s="10" t="str">
        <f aca="false">IF(COUNTA($D59:$P59)=0,"",SUMPRODUCT($D$2:$K$2,$D59:$K59)+SUMPRODUCT($R$2:$V$2,$R59:$V59))</f>
        <v/>
      </c>
      <c r="X59" s="48" t="str">
        <f aca="false">IF($W59="","",$W59/100)</f>
        <v/>
      </c>
      <c r="Y59" s="14"/>
    </row>
    <row r="60" customFormat="false" ht="15" hidden="false" customHeight="false" outlineLevel="0" collapsed="false">
      <c r="A60" s="44" t="n">
        <v>46328</v>
      </c>
      <c r="B60" s="27" t="s">
        <v>779</v>
      </c>
      <c r="C60" s="39" t="s">
        <v>780</v>
      </c>
      <c r="D60" s="39"/>
      <c r="E60" s="39"/>
      <c r="F60" s="39"/>
      <c r="G60" s="39"/>
      <c r="H60" s="39"/>
      <c r="I60" s="39"/>
      <c r="J60" s="39"/>
      <c r="K60" s="39"/>
      <c r="L60" s="31"/>
      <c r="M60" s="45"/>
      <c r="N60" s="46"/>
      <c r="O60" s="31"/>
      <c r="P60" s="46"/>
      <c r="Q60" s="47" t="n">
        <f aca="false">IF($C60="AYUNO",0,IF($C60="LIGERO",NUTRICION!$C$21,NUTRICION!$C$20))</f>
        <v>2750</v>
      </c>
      <c r="R60" s="27" t="n">
        <f aca="false">IF(COUNTA($D60:$P60)=0,0,IF($C60="AYUNO",IF(N($M60)&lt;=200,1,0),IF(N($L60)&gt;=NUTRICION!$C$23,1,0)))</f>
        <v>0</v>
      </c>
      <c r="S60" s="27" t="n">
        <f aca="false">IF(COUNTA($D60:$P60)=0,0,IF($C60="AYUNO",IF(N($M60)&lt;=200,1,0),IF(AND(N($M60)&gt;=$Q60-150,N($M60)&lt;=$Q60+150),1,0)))</f>
        <v>0</v>
      </c>
      <c r="T60" s="27" t="n">
        <f aca="false">IF(COUNTA($D60:$P60)=0,0,IF(N($N60)&gt;=NUTRICION!$C$27,1,0))</f>
        <v>0</v>
      </c>
      <c r="U60" s="27" t="n">
        <f aca="false">IF(COUNTA($D60:$P60)=0,0,IF(N($O60)&gt;=NUTRICION!$C$30,1,0))</f>
        <v>0</v>
      </c>
      <c r="V60" s="27" t="n">
        <f aca="false">IF(COUNTA($D60:$P60)=0,0,IF(N($P60)&gt;=NUTRICION!$C$29,1,0))</f>
        <v>0</v>
      </c>
      <c r="W60" s="10" t="str">
        <f aca="false">IF(COUNTA($D60:$P60)=0,"",SUMPRODUCT($D$2:$K$2,$D60:$K60)+SUMPRODUCT($R$2:$V$2,$R60:$V60))</f>
        <v/>
      </c>
      <c r="X60" s="48" t="str">
        <f aca="false">IF($W60="","",$W60/100)</f>
        <v/>
      </c>
      <c r="Y60" s="14"/>
    </row>
    <row r="61" customFormat="false" ht="15" hidden="false" customHeight="false" outlineLevel="0" collapsed="false">
      <c r="A61" s="44" t="n">
        <v>46329</v>
      </c>
      <c r="B61" s="27" t="s">
        <v>782</v>
      </c>
      <c r="C61" s="39" t="s">
        <v>780</v>
      </c>
      <c r="D61" s="39"/>
      <c r="E61" s="39"/>
      <c r="F61" s="39"/>
      <c r="G61" s="39"/>
      <c r="H61" s="39"/>
      <c r="I61" s="39"/>
      <c r="J61" s="39"/>
      <c r="K61" s="39"/>
      <c r="L61" s="31"/>
      <c r="M61" s="45"/>
      <c r="N61" s="46"/>
      <c r="O61" s="31"/>
      <c r="P61" s="46"/>
      <c r="Q61" s="47" t="n">
        <f aca="false">IF($C61="AYUNO",0,IF($C61="LIGERO",NUTRICION!$C$21,NUTRICION!$C$20))</f>
        <v>2750</v>
      </c>
      <c r="R61" s="27" t="n">
        <f aca="false">IF(COUNTA($D61:$P61)=0,0,IF($C61="AYUNO",IF(N($M61)&lt;=200,1,0),IF(N($L61)&gt;=NUTRICION!$C$23,1,0)))</f>
        <v>0</v>
      </c>
      <c r="S61" s="27" t="n">
        <f aca="false">IF(COUNTA($D61:$P61)=0,0,IF($C61="AYUNO",IF(N($M61)&lt;=200,1,0),IF(AND(N($M61)&gt;=$Q61-150,N($M61)&lt;=$Q61+150),1,0)))</f>
        <v>0</v>
      </c>
      <c r="T61" s="27" t="n">
        <f aca="false">IF(COUNTA($D61:$P61)=0,0,IF(N($N61)&gt;=NUTRICION!$C$27,1,0))</f>
        <v>0</v>
      </c>
      <c r="U61" s="27" t="n">
        <f aca="false">IF(COUNTA($D61:$P61)=0,0,IF(N($O61)&gt;=NUTRICION!$C$30,1,0))</f>
        <v>0</v>
      </c>
      <c r="V61" s="27" t="n">
        <f aca="false">IF(COUNTA($D61:$P61)=0,0,IF(N($P61)&gt;=NUTRICION!$C$29,1,0))</f>
        <v>0</v>
      </c>
      <c r="W61" s="10" t="str">
        <f aca="false">IF(COUNTA($D61:$P61)=0,"",SUMPRODUCT($D$2:$K$2,$D61:$K61)+SUMPRODUCT($R$2:$V$2,$R61:$V61))</f>
        <v/>
      </c>
      <c r="X61" s="48" t="str">
        <f aca="false">IF($W61="","",$W61/100)</f>
        <v/>
      </c>
      <c r="Y61" s="14"/>
    </row>
    <row r="62" customFormat="false" ht="15" hidden="false" customHeight="false" outlineLevel="0" collapsed="false">
      <c r="A62" s="44" t="n">
        <v>46330</v>
      </c>
      <c r="B62" s="27" t="s">
        <v>783</v>
      </c>
      <c r="C62" s="39" t="s">
        <v>780</v>
      </c>
      <c r="D62" s="39"/>
      <c r="E62" s="39"/>
      <c r="F62" s="39"/>
      <c r="G62" s="39"/>
      <c r="H62" s="39"/>
      <c r="I62" s="39"/>
      <c r="J62" s="39"/>
      <c r="K62" s="39"/>
      <c r="L62" s="31"/>
      <c r="M62" s="45"/>
      <c r="N62" s="46"/>
      <c r="O62" s="31"/>
      <c r="P62" s="46"/>
      <c r="Q62" s="47" t="n">
        <f aca="false">IF($C62="AYUNO",0,IF($C62="LIGERO",NUTRICION!$C$21,NUTRICION!$C$20))</f>
        <v>2750</v>
      </c>
      <c r="R62" s="27" t="n">
        <f aca="false">IF(COUNTA($D62:$P62)=0,0,IF($C62="AYUNO",IF(N($M62)&lt;=200,1,0),IF(N($L62)&gt;=NUTRICION!$C$23,1,0)))</f>
        <v>0</v>
      </c>
      <c r="S62" s="27" t="n">
        <f aca="false">IF(COUNTA($D62:$P62)=0,0,IF($C62="AYUNO",IF(N($M62)&lt;=200,1,0),IF(AND(N($M62)&gt;=$Q62-150,N($M62)&lt;=$Q62+150),1,0)))</f>
        <v>0</v>
      </c>
      <c r="T62" s="27" t="n">
        <f aca="false">IF(COUNTA($D62:$P62)=0,0,IF(N($N62)&gt;=NUTRICION!$C$27,1,0))</f>
        <v>0</v>
      </c>
      <c r="U62" s="27" t="n">
        <f aca="false">IF(COUNTA($D62:$P62)=0,0,IF(N($O62)&gt;=NUTRICION!$C$30,1,0))</f>
        <v>0</v>
      </c>
      <c r="V62" s="27" t="n">
        <f aca="false">IF(COUNTA($D62:$P62)=0,0,IF(N($P62)&gt;=NUTRICION!$C$29,1,0))</f>
        <v>0</v>
      </c>
      <c r="W62" s="10" t="str">
        <f aca="false">IF(COUNTA($D62:$P62)=0,"",SUMPRODUCT($D$2:$K$2,$D62:$K62)+SUMPRODUCT($R$2:$V$2,$R62:$V62))</f>
        <v/>
      </c>
      <c r="X62" s="48" t="str">
        <f aca="false">IF($W62="","",$W62/100)</f>
        <v/>
      </c>
      <c r="Y62" s="14"/>
    </row>
    <row r="63" customFormat="false" ht="15" hidden="false" customHeight="false" outlineLevel="0" collapsed="false">
      <c r="A63" s="44" t="n">
        <v>46331</v>
      </c>
      <c r="B63" s="27" t="s">
        <v>784</v>
      </c>
      <c r="C63" s="39" t="s">
        <v>780</v>
      </c>
      <c r="D63" s="39"/>
      <c r="E63" s="39"/>
      <c r="F63" s="39"/>
      <c r="G63" s="39"/>
      <c r="H63" s="39"/>
      <c r="I63" s="39"/>
      <c r="J63" s="39"/>
      <c r="K63" s="39"/>
      <c r="L63" s="31"/>
      <c r="M63" s="45"/>
      <c r="N63" s="46"/>
      <c r="O63" s="31"/>
      <c r="P63" s="46"/>
      <c r="Q63" s="47" t="n">
        <f aca="false">IF($C63="AYUNO",0,IF($C63="LIGERO",NUTRICION!$C$21,NUTRICION!$C$20))</f>
        <v>2750</v>
      </c>
      <c r="R63" s="27" t="n">
        <f aca="false">IF(COUNTA($D63:$P63)=0,0,IF($C63="AYUNO",IF(N($M63)&lt;=200,1,0),IF(N($L63)&gt;=NUTRICION!$C$23,1,0)))</f>
        <v>0</v>
      </c>
      <c r="S63" s="27" t="n">
        <f aca="false">IF(COUNTA($D63:$P63)=0,0,IF($C63="AYUNO",IF(N($M63)&lt;=200,1,0),IF(AND(N($M63)&gt;=$Q63-150,N($M63)&lt;=$Q63+150),1,0)))</f>
        <v>0</v>
      </c>
      <c r="T63" s="27" t="n">
        <f aca="false">IF(COUNTA($D63:$P63)=0,0,IF(N($N63)&gt;=NUTRICION!$C$27,1,0))</f>
        <v>0</v>
      </c>
      <c r="U63" s="27" t="n">
        <f aca="false">IF(COUNTA($D63:$P63)=0,0,IF(N($O63)&gt;=NUTRICION!$C$30,1,0))</f>
        <v>0</v>
      </c>
      <c r="V63" s="27" t="n">
        <f aca="false">IF(COUNTA($D63:$P63)=0,0,IF(N($P63)&gt;=NUTRICION!$C$29,1,0))</f>
        <v>0</v>
      </c>
      <c r="W63" s="10" t="str">
        <f aca="false">IF(COUNTA($D63:$P63)=0,"",SUMPRODUCT($D$2:$K$2,$D63:$K63)+SUMPRODUCT($R$2:$V$2,$R63:$V63))</f>
        <v/>
      </c>
      <c r="X63" s="48" t="str">
        <f aca="false">IF($W63="","",$W63/100)</f>
        <v/>
      </c>
      <c r="Y63" s="14"/>
    </row>
    <row r="64" customFormat="false" ht="15" hidden="false" customHeight="false" outlineLevel="0" collapsed="false">
      <c r="A64" s="44" t="n">
        <v>46332</v>
      </c>
      <c r="B64" s="50" t="s">
        <v>785</v>
      </c>
      <c r="C64" s="39" t="s">
        <v>786</v>
      </c>
      <c r="D64" s="39"/>
      <c r="E64" s="39"/>
      <c r="F64" s="39"/>
      <c r="G64" s="39"/>
      <c r="H64" s="39"/>
      <c r="I64" s="39"/>
      <c r="J64" s="39"/>
      <c r="K64" s="39"/>
      <c r="L64" s="31"/>
      <c r="M64" s="45"/>
      <c r="N64" s="46"/>
      <c r="O64" s="31"/>
      <c r="P64" s="46"/>
      <c r="Q64" s="47" t="n">
        <f aca="false">IF($C64="AYUNO",0,IF($C64="LIGERO",NUTRICION!$C$21,NUTRICION!$C$20))</f>
        <v>0</v>
      </c>
      <c r="R64" s="27" t="n">
        <f aca="false">IF(COUNTA($D64:$P64)=0,0,IF($C64="AYUNO",IF(N($M64)&lt;=200,1,0),IF(N($L64)&gt;=NUTRICION!$C$23,1,0)))</f>
        <v>0</v>
      </c>
      <c r="S64" s="27" t="n">
        <f aca="false">IF(COUNTA($D64:$P64)=0,0,IF($C64="AYUNO",IF(N($M64)&lt;=200,1,0),IF(AND(N($M64)&gt;=$Q64-150,N($M64)&lt;=$Q64+150),1,0)))</f>
        <v>0</v>
      </c>
      <c r="T64" s="27" t="n">
        <f aca="false">IF(COUNTA($D64:$P64)=0,0,IF(N($N64)&gt;=NUTRICION!$C$27,1,0))</f>
        <v>0</v>
      </c>
      <c r="U64" s="27" t="n">
        <f aca="false">IF(COUNTA($D64:$P64)=0,0,IF(N($O64)&gt;=NUTRICION!$C$30,1,0))</f>
        <v>0</v>
      </c>
      <c r="V64" s="27" t="n">
        <f aca="false">IF(COUNTA($D64:$P64)=0,0,IF(N($P64)&gt;=NUTRICION!$C$29,1,0))</f>
        <v>0</v>
      </c>
      <c r="W64" s="10" t="str">
        <f aca="false">IF(COUNTA($D64:$P64)=0,"",SUMPRODUCT($D$2:$K$2,$D64:$K64)+SUMPRODUCT($R$2:$V$2,$R64:$V64))</f>
        <v/>
      </c>
      <c r="X64" s="48" t="str">
        <f aca="false">IF($W64="","",$W64/100)</f>
        <v/>
      </c>
      <c r="Y64" s="14"/>
    </row>
    <row r="65" customFormat="false" ht="15" hidden="false" customHeight="false" outlineLevel="0" collapsed="false">
      <c r="A65" s="44" t="n">
        <v>46333</v>
      </c>
      <c r="B65" s="51" t="s">
        <v>787</v>
      </c>
      <c r="C65" s="39" t="s">
        <v>788</v>
      </c>
      <c r="D65" s="39"/>
      <c r="E65" s="39"/>
      <c r="F65" s="39"/>
      <c r="G65" s="39"/>
      <c r="H65" s="39"/>
      <c r="I65" s="39"/>
      <c r="J65" s="39"/>
      <c r="K65" s="39"/>
      <c r="L65" s="31"/>
      <c r="M65" s="45"/>
      <c r="N65" s="46"/>
      <c r="O65" s="31"/>
      <c r="P65" s="46"/>
      <c r="Q65" s="47" t="n">
        <f aca="false">IF($C65="AYUNO",0,IF($C65="LIGERO",NUTRICION!$C$21,NUTRICION!$C$20))</f>
        <v>2450</v>
      </c>
      <c r="R65" s="27" t="n">
        <f aca="false">IF(COUNTA($D65:$P65)=0,0,IF($C65="AYUNO",IF(N($M65)&lt;=200,1,0),IF(N($L65)&gt;=NUTRICION!$C$23,1,0)))</f>
        <v>0</v>
      </c>
      <c r="S65" s="27" t="n">
        <f aca="false">IF(COUNTA($D65:$P65)=0,0,IF($C65="AYUNO",IF(N($M65)&lt;=200,1,0),IF(AND(N($M65)&gt;=$Q65-150,N($M65)&lt;=$Q65+150),1,0)))</f>
        <v>0</v>
      </c>
      <c r="T65" s="27" t="n">
        <f aca="false">IF(COUNTA($D65:$P65)=0,0,IF(N($N65)&gt;=NUTRICION!$C$27,1,0))</f>
        <v>0</v>
      </c>
      <c r="U65" s="27" t="n">
        <f aca="false">IF(COUNTA($D65:$P65)=0,0,IF(N($O65)&gt;=NUTRICION!$C$30,1,0))</f>
        <v>0</v>
      </c>
      <c r="V65" s="27" t="n">
        <f aca="false">IF(COUNTA($D65:$P65)=0,0,IF(N($P65)&gt;=NUTRICION!$C$29,1,0))</f>
        <v>0</v>
      </c>
      <c r="W65" s="10" t="str">
        <f aca="false">IF(COUNTA($D65:$P65)=0,"",SUMPRODUCT($D$2:$K$2,$D65:$K65)+SUMPRODUCT($R$2:$V$2,$R65:$V65))</f>
        <v/>
      </c>
      <c r="X65" s="48" t="str">
        <f aca="false">IF($W65="","",$W65/100)</f>
        <v/>
      </c>
      <c r="Y65" s="14"/>
    </row>
    <row r="66" customFormat="false" ht="15" hidden="false" customHeight="false" outlineLevel="0" collapsed="false">
      <c r="A66" s="44" t="n">
        <v>46334</v>
      </c>
      <c r="B66" s="51" t="s">
        <v>789</v>
      </c>
      <c r="C66" s="39" t="s">
        <v>788</v>
      </c>
      <c r="D66" s="39"/>
      <c r="E66" s="39"/>
      <c r="F66" s="39"/>
      <c r="G66" s="39"/>
      <c r="H66" s="39"/>
      <c r="I66" s="39"/>
      <c r="J66" s="39"/>
      <c r="K66" s="39"/>
      <c r="L66" s="31"/>
      <c r="M66" s="45"/>
      <c r="N66" s="46"/>
      <c r="O66" s="31"/>
      <c r="P66" s="46"/>
      <c r="Q66" s="47" t="n">
        <f aca="false">IF($C66="AYUNO",0,IF($C66="LIGERO",NUTRICION!$C$21,NUTRICION!$C$20))</f>
        <v>2450</v>
      </c>
      <c r="R66" s="27" t="n">
        <f aca="false">IF(COUNTA($D66:$P66)=0,0,IF($C66="AYUNO",IF(N($M66)&lt;=200,1,0),IF(N($L66)&gt;=NUTRICION!$C$23,1,0)))</f>
        <v>0</v>
      </c>
      <c r="S66" s="27" t="n">
        <f aca="false">IF(COUNTA($D66:$P66)=0,0,IF($C66="AYUNO",IF(N($M66)&lt;=200,1,0),IF(AND(N($M66)&gt;=$Q66-150,N($M66)&lt;=$Q66+150),1,0)))</f>
        <v>0</v>
      </c>
      <c r="T66" s="27" t="n">
        <f aca="false">IF(COUNTA($D66:$P66)=0,0,IF(N($N66)&gt;=NUTRICION!$C$27,1,0))</f>
        <v>0</v>
      </c>
      <c r="U66" s="27" t="n">
        <f aca="false">IF(COUNTA($D66:$P66)=0,0,IF(N($O66)&gt;=NUTRICION!$C$30,1,0))</f>
        <v>0</v>
      </c>
      <c r="V66" s="27" t="n">
        <f aca="false">IF(COUNTA($D66:$P66)=0,0,IF(N($P66)&gt;=NUTRICION!$C$29,1,0))</f>
        <v>0</v>
      </c>
      <c r="W66" s="10" t="str">
        <f aca="false">IF(COUNTA($D66:$P66)=0,"",SUMPRODUCT($D$2:$K$2,$D66:$K66)+SUMPRODUCT($R$2:$V$2,$R66:$V66))</f>
        <v/>
      </c>
      <c r="X66" s="48" t="str">
        <f aca="false">IF($W66="","",$W66/100)</f>
        <v/>
      </c>
      <c r="Y66" s="14"/>
    </row>
    <row r="67" customFormat="false" ht="15" hidden="false" customHeight="false" outlineLevel="0" collapsed="false">
      <c r="A67" s="44" t="n">
        <v>46335</v>
      </c>
      <c r="B67" s="27" t="s">
        <v>779</v>
      </c>
      <c r="C67" s="39" t="s">
        <v>780</v>
      </c>
      <c r="D67" s="39"/>
      <c r="E67" s="39"/>
      <c r="F67" s="39"/>
      <c r="G67" s="39"/>
      <c r="H67" s="39"/>
      <c r="I67" s="39"/>
      <c r="J67" s="39"/>
      <c r="K67" s="39"/>
      <c r="L67" s="31"/>
      <c r="M67" s="45"/>
      <c r="N67" s="46"/>
      <c r="O67" s="31"/>
      <c r="P67" s="46"/>
      <c r="Q67" s="47" t="n">
        <f aca="false">IF($C67="AYUNO",0,IF($C67="LIGERO",NUTRICION!$C$21,NUTRICION!$C$20))</f>
        <v>2750</v>
      </c>
      <c r="R67" s="27" t="n">
        <f aca="false">IF(COUNTA($D67:$P67)=0,0,IF($C67="AYUNO",IF(N($M67)&lt;=200,1,0),IF(N($L67)&gt;=NUTRICION!$C$23,1,0)))</f>
        <v>0</v>
      </c>
      <c r="S67" s="27" t="n">
        <f aca="false">IF(COUNTA($D67:$P67)=0,0,IF($C67="AYUNO",IF(N($M67)&lt;=200,1,0),IF(AND(N($M67)&gt;=$Q67-150,N($M67)&lt;=$Q67+150),1,0)))</f>
        <v>0</v>
      </c>
      <c r="T67" s="27" t="n">
        <f aca="false">IF(COUNTA($D67:$P67)=0,0,IF(N($N67)&gt;=NUTRICION!$C$27,1,0))</f>
        <v>0</v>
      </c>
      <c r="U67" s="27" t="n">
        <f aca="false">IF(COUNTA($D67:$P67)=0,0,IF(N($O67)&gt;=NUTRICION!$C$30,1,0))</f>
        <v>0</v>
      </c>
      <c r="V67" s="27" t="n">
        <f aca="false">IF(COUNTA($D67:$P67)=0,0,IF(N($P67)&gt;=NUTRICION!$C$29,1,0))</f>
        <v>0</v>
      </c>
      <c r="W67" s="10" t="str">
        <f aca="false">IF(COUNTA($D67:$P67)=0,"",SUMPRODUCT($D$2:$K$2,$D67:$K67)+SUMPRODUCT($R$2:$V$2,$R67:$V67))</f>
        <v/>
      </c>
      <c r="X67" s="48" t="str">
        <f aca="false">IF($W67="","",$W67/100)</f>
        <v/>
      </c>
      <c r="Y67" s="14"/>
    </row>
    <row r="68" customFormat="false" ht="15" hidden="false" customHeight="false" outlineLevel="0" collapsed="false">
      <c r="A68" s="44" t="n">
        <v>46336</v>
      </c>
      <c r="B68" s="27" t="s">
        <v>782</v>
      </c>
      <c r="C68" s="39" t="s">
        <v>780</v>
      </c>
      <c r="D68" s="39"/>
      <c r="E68" s="39"/>
      <c r="F68" s="39"/>
      <c r="G68" s="39"/>
      <c r="H68" s="39"/>
      <c r="I68" s="39"/>
      <c r="J68" s="39"/>
      <c r="K68" s="39"/>
      <c r="L68" s="31"/>
      <c r="M68" s="45"/>
      <c r="N68" s="46"/>
      <c r="O68" s="31"/>
      <c r="P68" s="46"/>
      <c r="Q68" s="47" t="n">
        <f aca="false">IF($C68="AYUNO",0,IF($C68="LIGERO",NUTRICION!$C$21,NUTRICION!$C$20))</f>
        <v>2750</v>
      </c>
      <c r="R68" s="27" t="n">
        <f aca="false">IF(COUNTA($D68:$P68)=0,0,IF($C68="AYUNO",IF(N($M68)&lt;=200,1,0),IF(N($L68)&gt;=NUTRICION!$C$23,1,0)))</f>
        <v>0</v>
      </c>
      <c r="S68" s="27" t="n">
        <f aca="false">IF(COUNTA($D68:$P68)=0,0,IF($C68="AYUNO",IF(N($M68)&lt;=200,1,0),IF(AND(N($M68)&gt;=$Q68-150,N($M68)&lt;=$Q68+150),1,0)))</f>
        <v>0</v>
      </c>
      <c r="T68" s="27" t="n">
        <f aca="false">IF(COUNTA($D68:$P68)=0,0,IF(N($N68)&gt;=NUTRICION!$C$27,1,0))</f>
        <v>0</v>
      </c>
      <c r="U68" s="27" t="n">
        <f aca="false">IF(COUNTA($D68:$P68)=0,0,IF(N($O68)&gt;=NUTRICION!$C$30,1,0))</f>
        <v>0</v>
      </c>
      <c r="V68" s="27" t="n">
        <f aca="false">IF(COUNTA($D68:$P68)=0,0,IF(N($P68)&gt;=NUTRICION!$C$29,1,0))</f>
        <v>0</v>
      </c>
      <c r="W68" s="10" t="str">
        <f aca="false">IF(COUNTA($D68:$P68)=0,"",SUMPRODUCT($D$2:$K$2,$D68:$K68)+SUMPRODUCT($R$2:$V$2,$R68:$V68))</f>
        <v/>
      </c>
      <c r="X68" s="48" t="str">
        <f aca="false">IF($W68="","",$W68/100)</f>
        <v/>
      </c>
      <c r="Y68" s="14"/>
    </row>
    <row r="69" customFormat="false" ht="15" hidden="false" customHeight="false" outlineLevel="0" collapsed="false">
      <c r="A69" s="44" t="n">
        <v>46337</v>
      </c>
      <c r="B69" s="27" t="s">
        <v>783</v>
      </c>
      <c r="C69" s="39" t="s">
        <v>780</v>
      </c>
      <c r="D69" s="39"/>
      <c r="E69" s="39"/>
      <c r="F69" s="39"/>
      <c r="G69" s="39"/>
      <c r="H69" s="39"/>
      <c r="I69" s="39"/>
      <c r="J69" s="39"/>
      <c r="K69" s="39"/>
      <c r="L69" s="31"/>
      <c r="M69" s="45"/>
      <c r="N69" s="46"/>
      <c r="O69" s="31"/>
      <c r="P69" s="46"/>
      <c r="Q69" s="47" t="n">
        <f aca="false">IF($C69="AYUNO",0,IF($C69="LIGERO",NUTRICION!$C$21,NUTRICION!$C$20))</f>
        <v>2750</v>
      </c>
      <c r="R69" s="27" t="n">
        <f aca="false">IF(COUNTA($D69:$P69)=0,0,IF($C69="AYUNO",IF(N($M69)&lt;=200,1,0),IF(N($L69)&gt;=NUTRICION!$C$23,1,0)))</f>
        <v>0</v>
      </c>
      <c r="S69" s="27" t="n">
        <f aca="false">IF(COUNTA($D69:$P69)=0,0,IF($C69="AYUNO",IF(N($M69)&lt;=200,1,0),IF(AND(N($M69)&gt;=$Q69-150,N($M69)&lt;=$Q69+150),1,0)))</f>
        <v>0</v>
      </c>
      <c r="T69" s="27" t="n">
        <f aca="false">IF(COUNTA($D69:$P69)=0,0,IF(N($N69)&gt;=NUTRICION!$C$27,1,0))</f>
        <v>0</v>
      </c>
      <c r="U69" s="27" t="n">
        <f aca="false">IF(COUNTA($D69:$P69)=0,0,IF(N($O69)&gt;=NUTRICION!$C$30,1,0))</f>
        <v>0</v>
      </c>
      <c r="V69" s="27" t="n">
        <f aca="false">IF(COUNTA($D69:$P69)=0,0,IF(N($P69)&gt;=NUTRICION!$C$29,1,0))</f>
        <v>0</v>
      </c>
      <c r="W69" s="10" t="str">
        <f aca="false">IF(COUNTA($D69:$P69)=0,"",SUMPRODUCT($D$2:$K$2,$D69:$K69)+SUMPRODUCT($R$2:$V$2,$R69:$V69))</f>
        <v/>
      </c>
      <c r="X69" s="48" t="str">
        <f aca="false">IF($W69="","",$W69/100)</f>
        <v/>
      </c>
      <c r="Y69" s="14"/>
    </row>
    <row r="70" customFormat="false" ht="15" hidden="false" customHeight="false" outlineLevel="0" collapsed="false">
      <c r="A70" s="44" t="n">
        <v>46338</v>
      </c>
      <c r="B70" s="27" t="s">
        <v>784</v>
      </c>
      <c r="C70" s="39" t="s">
        <v>780</v>
      </c>
      <c r="D70" s="39"/>
      <c r="E70" s="39"/>
      <c r="F70" s="39"/>
      <c r="G70" s="39"/>
      <c r="H70" s="39"/>
      <c r="I70" s="39"/>
      <c r="J70" s="39"/>
      <c r="K70" s="39"/>
      <c r="L70" s="31"/>
      <c r="M70" s="45"/>
      <c r="N70" s="46"/>
      <c r="O70" s="31"/>
      <c r="P70" s="46"/>
      <c r="Q70" s="47" t="n">
        <f aca="false">IF($C70="AYUNO",0,IF($C70="LIGERO",NUTRICION!$C$21,NUTRICION!$C$20))</f>
        <v>2750</v>
      </c>
      <c r="R70" s="27" t="n">
        <f aca="false">IF(COUNTA($D70:$P70)=0,0,IF($C70="AYUNO",IF(N($M70)&lt;=200,1,0),IF(N($L70)&gt;=NUTRICION!$C$23,1,0)))</f>
        <v>0</v>
      </c>
      <c r="S70" s="27" t="n">
        <f aca="false">IF(COUNTA($D70:$P70)=0,0,IF($C70="AYUNO",IF(N($M70)&lt;=200,1,0),IF(AND(N($M70)&gt;=$Q70-150,N($M70)&lt;=$Q70+150),1,0)))</f>
        <v>0</v>
      </c>
      <c r="T70" s="27" t="n">
        <f aca="false">IF(COUNTA($D70:$P70)=0,0,IF(N($N70)&gt;=NUTRICION!$C$27,1,0))</f>
        <v>0</v>
      </c>
      <c r="U70" s="27" t="n">
        <f aca="false">IF(COUNTA($D70:$P70)=0,0,IF(N($O70)&gt;=NUTRICION!$C$30,1,0))</f>
        <v>0</v>
      </c>
      <c r="V70" s="27" t="n">
        <f aca="false">IF(COUNTA($D70:$P70)=0,0,IF(N($P70)&gt;=NUTRICION!$C$29,1,0))</f>
        <v>0</v>
      </c>
      <c r="W70" s="10" t="str">
        <f aca="false">IF(COUNTA($D70:$P70)=0,"",SUMPRODUCT($D$2:$K$2,$D70:$K70)+SUMPRODUCT($R$2:$V$2,$R70:$V70))</f>
        <v/>
      </c>
      <c r="X70" s="48" t="str">
        <f aca="false">IF($W70="","",$W70/100)</f>
        <v/>
      </c>
      <c r="Y70" s="14"/>
    </row>
    <row r="71" customFormat="false" ht="15" hidden="false" customHeight="false" outlineLevel="0" collapsed="false">
      <c r="A71" s="44" t="n">
        <v>46339</v>
      </c>
      <c r="B71" s="50" t="s">
        <v>785</v>
      </c>
      <c r="C71" s="39" t="s">
        <v>786</v>
      </c>
      <c r="D71" s="39"/>
      <c r="E71" s="39"/>
      <c r="F71" s="39"/>
      <c r="G71" s="39"/>
      <c r="H71" s="39"/>
      <c r="I71" s="39"/>
      <c r="J71" s="39"/>
      <c r="K71" s="39"/>
      <c r="L71" s="31"/>
      <c r="M71" s="45"/>
      <c r="N71" s="46"/>
      <c r="O71" s="31"/>
      <c r="P71" s="46"/>
      <c r="Q71" s="47" t="n">
        <f aca="false">IF($C71="AYUNO",0,IF($C71="LIGERO",NUTRICION!$C$21,NUTRICION!$C$20))</f>
        <v>0</v>
      </c>
      <c r="R71" s="27" t="n">
        <f aca="false">IF(COUNTA($D71:$P71)=0,0,IF($C71="AYUNO",IF(N($M71)&lt;=200,1,0),IF(N($L71)&gt;=NUTRICION!$C$23,1,0)))</f>
        <v>0</v>
      </c>
      <c r="S71" s="27" t="n">
        <f aca="false">IF(COUNTA($D71:$P71)=0,0,IF($C71="AYUNO",IF(N($M71)&lt;=200,1,0),IF(AND(N($M71)&gt;=$Q71-150,N($M71)&lt;=$Q71+150),1,0)))</f>
        <v>0</v>
      </c>
      <c r="T71" s="27" t="n">
        <f aca="false">IF(COUNTA($D71:$P71)=0,0,IF(N($N71)&gt;=NUTRICION!$C$27,1,0))</f>
        <v>0</v>
      </c>
      <c r="U71" s="27" t="n">
        <f aca="false">IF(COUNTA($D71:$P71)=0,0,IF(N($O71)&gt;=NUTRICION!$C$30,1,0))</f>
        <v>0</v>
      </c>
      <c r="V71" s="27" t="n">
        <f aca="false">IF(COUNTA($D71:$P71)=0,0,IF(N($P71)&gt;=NUTRICION!$C$29,1,0))</f>
        <v>0</v>
      </c>
      <c r="W71" s="10" t="str">
        <f aca="false">IF(COUNTA($D71:$P71)=0,"",SUMPRODUCT($D$2:$K$2,$D71:$K71)+SUMPRODUCT($R$2:$V$2,$R71:$V71))</f>
        <v/>
      </c>
      <c r="X71" s="48" t="str">
        <f aca="false">IF($W71="","",$W71/100)</f>
        <v/>
      </c>
      <c r="Y71" s="14"/>
    </row>
    <row r="72" customFormat="false" ht="15" hidden="false" customHeight="false" outlineLevel="0" collapsed="false">
      <c r="A72" s="44" t="n">
        <v>46340</v>
      </c>
      <c r="B72" s="51" t="s">
        <v>787</v>
      </c>
      <c r="C72" s="39" t="s">
        <v>788</v>
      </c>
      <c r="D72" s="39"/>
      <c r="E72" s="39"/>
      <c r="F72" s="39"/>
      <c r="G72" s="39"/>
      <c r="H72" s="39"/>
      <c r="I72" s="39"/>
      <c r="J72" s="39"/>
      <c r="K72" s="39"/>
      <c r="L72" s="31"/>
      <c r="M72" s="45"/>
      <c r="N72" s="46"/>
      <c r="O72" s="31"/>
      <c r="P72" s="46"/>
      <c r="Q72" s="47" t="n">
        <f aca="false">IF($C72="AYUNO",0,IF($C72="LIGERO",NUTRICION!$C$21,NUTRICION!$C$20))</f>
        <v>2450</v>
      </c>
      <c r="R72" s="27" t="n">
        <f aca="false">IF(COUNTA($D72:$P72)=0,0,IF($C72="AYUNO",IF(N($M72)&lt;=200,1,0),IF(N($L72)&gt;=NUTRICION!$C$23,1,0)))</f>
        <v>0</v>
      </c>
      <c r="S72" s="27" t="n">
        <f aca="false">IF(COUNTA($D72:$P72)=0,0,IF($C72="AYUNO",IF(N($M72)&lt;=200,1,0),IF(AND(N($M72)&gt;=$Q72-150,N($M72)&lt;=$Q72+150),1,0)))</f>
        <v>0</v>
      </c>
      <c r="T72" s="27" t="n">
        <f aca="false">IF(COUNTA($D72:$P72)=0,0,IF(N($N72)&gt;=NUTRICION!$C$27,1,0))</f>
        <v>0</v>
      </c>
      <c r="U72" s="27" t="n">
        <f aca="false">IF(COUNTA($D72:$P72)=0,0,IF(N($O72)&gt;=NUTRICION!$C$30,1,0))</f>
        <v>0</v>
      </c>
      <c r="V72" s="27" t="n">
        <f aca="false">IF(COUNTA($D72:$P72)=0,0,IF(N($P72)&gt;=NUTRICION!$C$29,1,0))</f>
        <v>0</v>
      </c>
      <c r="W72" s="10" t="str">
        <f aca="false">IF(COUNTA($D72:$P72)=0,"",SUMPRODUCT($D$2:$K$2,$D72:$K72)+SUMPRODUCT($R$2:$V$2,$R72:$V72))</f>
        <v/>
      </c>
      <c r="X72" s="48" t="str">
        <f aca="false">IF($W72="","",$W72/100)</f>
        <v/>
      </c>
      <c r="Y72" s="14"/>
    </row>
    <row r="73" customFormat="false" ht="15" hidden="false" customHeight="false" outlineLevel="0" collapsed="false">
      <c r="A73" s="44" t="n">
        <v>46341</v>
      </c>
      <c r="B73" s="51" t="s">
        <v>789</v>
      </c>
      <c r="C73" s="39" t="s">
        <v>788</v>
      </c>
      <c r="D73" s="39"/>
      <c r="E73" s="39"/>
      <c r="F73" s="39"/>
      <c r="G73" s="39"/>
      <c r="H73" s="39"/>
      <c r="I73" s="39"/>
      <c r="J73" s="39"/>
      <c r="K73" s="39"/>
      <c r="L73" s="31"/>
      <c r="M73" s="45"/>
      <c r="N73" s="46"/>
      <c r="O73" s="31"/>
      <c r="P73" s="46"/>
      <c r="Q73" s="47" t="n">
        <f aca="false">IF($C73="AYUNO",0,IF($C73="LIGERO",NUTRICION!$C$21,NUTRICION!$C$20))</f>
        <v>2450</v>
      </c>
      <c r="R73" s="27" t="n">
        <f aca="false">IF(COUNTA($D73:$P73)=0,0,IF($C73="AYUNO",IF(N($M73)&lt;=200,1,0),IF(N($L73)&gt;=NUTRICION!$C$23,1,0)))</f>
        <v>0</v>
      </c>
      <c r="S73" s="27" t="n">
        <f aca="false">IF(COUNTA($D73:$P73)=0,0,IF($C73="AYUNO",IF(N($M73)&lt;=200,1,0),IF(AND(N($M73)&gt;=$Q73-150,N($M73)&lt;=$Q73+150),1,0)))</f>
        <v>0</v>
      </c>
      <c r="T73" s="27" t="n">
        <f aca="false">IF(COUNTA($D73:$P73)=0,0,IF(N($N73)&gt;=NUTRICION!$C$27,1,0))</f>
        <v>0</v>
      </c>
      <c r="U73" s="27" t="n">
        <f aca="false">IF(COUNTA($D73:$P73)=0,0,IF(N($O73)&gt;=NUTRICION!$C$30,1,0))</f>
        <v>0</v>
      </c>
      <c r="V73" s="27" t="n">
        <f aca="false">IF(COUNTA($D73:$P73)=0,0,IF(N($P73)&gt;=NUTRICION!$C$29,1,0))</f>
        <v>0</v>
      </c>
      <c r="W73" s="10" t="str">
        <f aca="false">IF(COUNTA($D73:$P73)=0,"",SUMPRODUCT($D$2:$K$2,$D73:$K73)+SUMPRODUCT($R$2:$V$2,$R73:$V73))</f>
        <v/>
      </c>
      <c r="X73" s="48" t="str">
        <f aca="false">IF($W73="","",$W73/100)</f>
        <v/>
      </c>
      <c r="Y73" s="14"/>
    </row>
    <row r="74" customFormat="false" ht="15" hidden="false" customHeight="false" outlineLevel="0" collapsed="false">
      <c r="A74" s="44" t="n">
        <v>46342</v>
      </c>
      <c r="B74" s="27" t="s">
        <v>779</v>
      </c>
      <c r="C74" s="39" t="s">
        <v>780</v>
      </c>
      <c r="D74" s="39"/>
      <c r="E74" s="39"/>
      <c r="F74" s="39"/>
      <c r="G74" s="39"/>
      <c r="H74" s="39"/>
      <c r="I74" s="39"/>
      <c r="J74" s="39"/>
      <c r="K74" s="39"/>
      <c r="L74" s="31"/>
      <c r="M74" s="45"/>
      <c r="N74" s="46"/>
      <c r="O74" s="31"/>
      <c r="P74" s="46"/>
      <c r="Q74" s="47" t="n">
        <f aca="false">IF($C74="AYUNO",0,IF($C74="LIGERO",NUTRICION!$C$21,NUTRICION!$C$20))</f>
        <v>2750</v>
      </c>
      <c r="R74" s="27" t="n">
        <f aca="false">IF(COUNTA($D74:$P74)=0,0,IF($C74="AYUNO",IF(N($M74)&lt;=200,1,0),IF(N($L74)&gt;=NUTRICION!$C$23,1,0)))</f>
        <v>0</v>
      </c>
      <c r="S74" s="27" t="n">
        <f aca="false">IF(COUNTA($D74:$P74)=0,0,IF($C74="AYUNO",IF(N($M74)&lt;=200,1,0),IF(AND(N($M74)&gt;=$Q74-150,N($M74)&lt;=$Q74+150),1,0)))</f>
        <v>0</v>
      </c>
      <c r="T74" s="27" t="n">
        <f aca="false">IF(COUNTA($D74:$P74)=0,0,IF(N($N74)&gt;=NUTRICION!$C$27,1,0))</f>
        <v>0</v>
      </c>
      <c r="U74" s="27" t="n">
        <f aca="false">IF(COUNTA($D74:$P74)=0,0,IF(N($O74)&gt;=NUTRICION!$C$30,1,0))</f>
        <v>0</v>
      </c>
      <c r="V74" s="27" t="n">
        <f aca="false">IF(COUNTA($D74:$P74)=0,0,IF(N($P74)&gt;=NUTRICION!$C$29,1,0))</f>
        <v>0</v>
      </c>
      <c r="W74" s="10" t="str">
        <f aca="false">IF(COUNTA($D74:$P74)=0,"",SUMPRODUCT($D$2:$K$2,$D74:$K74)+SUMPRODUCT($R$2:$V$2,$R74:$V74))</f>
        <v/>
      </c>
      <c r="X74" s="48" t="str">
        <f aca="false">IF($W74="","",$W74/100)</f>
        <v/>
      </c>
      <c r="Y74" s="14"/>
    </row>
    <row r="75" customFormat="false" ht="15" hidden="false" customHeight="false" outlineLevel="0" collapsed="false">
      <c r="A75" s="44" t="n">
        <v>46343</v>
      </c>
      <c r="B75" s="27" t="s">
        <v>782</v>
      </c>
      <c r="C75" s="39" t="s">
        <v>780</v>
      </c>
      <c r="D75" s="39"/>
      <c r="E75" s="39"/>
      <c r="F75" s="39"/>
      <c r="G75" s="39"/>
      <c r="H75" s="39"/>
      <c r="I75" s="39"/>
      <c r="J75" s="39"/>
      <c r="K75" s="39"/>
      <c r="L75" s="31"/>
      <c r="M75" s="45"/>
      <c r="N75" s="46"/>
      <c r="O75" s="31"/>
      <c r="P75" s="46"/>
      <c r="Q75" s="47" t="n">
        <f aca="false">IF($C75="AYUNO",0,IF($C75="LIGERO",NUTRICION!$C$21,NUTRICION!$C$20))</f>
        <v>2750</v>
      </c>
      <c r="R75" s="27" t="n">
        <f aca="false">IF(COUNTA($D75:$P75)=0,0,IF($C75="AYUNO",IF(N($M75)&lt;=200,1,0),IF(N($L75)&gt;=NUTRICION!$C$23,1,0)))</f>
        <v>0</v>
      </c>
      <c r="S75" s="27" t="n">
        <f aca="false">IF(COUNTA($D75:$P75)=0,0,IF($C75="AYUNO",IF(N($M75)&lt;=200,1,0),IF(AND(N($M75)&gt;=$Q75-150,N($M75)&lt;=$Q75+150),1,0)))</f>
        <v>0</v>
      </c>
      <c r="T75" s="27" t="n">
        <f aca="false">IF(COUNTA($D75:$P75)=0,0,IF(N($N75)&gt;=NUTRICION!$C$27,1,0))</f>
        <v>0</v>
      </c>
      <c r="U75" s="27" t="n">
        <f aca="false">IF(COUNTA($D75:$P75)=0,0,IF(N($O75)&gt;=NUTRICION!$C$30,1,0))</f>
        <v>0</v>
      </c>
      <c r="V75" s="27" t="n">
        <f aca="false">IF(COUNTA($D75:$P75)=0,0,IF(N($P75)&gt;=NUTRICION!$C$29,1,0))</f>
        <v>0</v>
      </c>
      <c r="W75" s="10" t="str">
        <f aca="false">IF(COUNTA($D75:$P75)=0,"",SUMPRODUCT($D$2:$K$2,$D75:$K75)+SUMPRODUCT($R$2:$V$2,$R75:$V75))</f>
        <v/>
      </c>
      <c r="X75" s="48" t="str">
        <f aca="false">IF($W75="","",$W75/100)</f>
        <v/>
      </c>
      <c r="Y75" s="14"/>
    </row>
    <row r="76" customFormat="false" ht="15" hidden="false" customHeight="false" outlineLevel="0" collapsed="false">
      <c r="A76" s="44" t="n">
        <v>46344</v>
      </c>
      <c r="B76" s="27" t="s">
        <v>783</v>
      </c>
      <c r="C76" s="39" t="s">
        <v>780</v>
      </c>
      <c r="D76" s="39"/>
      <c r="E76" s="39"/>
      <c r="F76" s="39"/>
      <c r="G76" s="39"/>
      <c r="H76" s="39"/>
      <c r="I76" s="39"/>
      <c r="J76" s="39"/>
      <c r="K76" s="39"/>
      <c r="L76" s="31"/>
      <c r="M76" s="45"/>
      <c r="N76" s="46"/>
      <c r="O76" s="31"/>
      <c r="P76" s="46"/>
      <c r="Q76" s="47" t="n">
        <f aca="false">IF($C76="AYUNO",0,IF($C76="LIGERO",NUTRICION!$C$21,NUTRICION!$C$20))</f>
        <v>2750</v>
      </c>
      <c r="R76" s="27" t="n">
        <f aca="false">IF(COUNTA($D76:$P76)=0,0,IF($C76="AYUNO",IF(N($M76)&lt;=200,1,0),IF(N($L76)&gt;=NUTRICION!$C$23,1,0)))</f>
        <v>0</v>
      </c>
      <c r="S76" s="27" t="n">
        <f aca="false">IF(COUNTA($D76:$P76)=0,0,IF($C76="AYUNO",IF(N($M76)&lt;=200,1,0),IF(AND(N($M76)&gt;=$Q76-150,N($M76)&lt;=$Q76+150),1,0)))</f>
        <v>0</v>
      </c>
      <c r="T76" s="27" t="n">
        <f aca="false">IF(COUNTA($D76:$P76)=0,0,IF(N($N76)&gt;=NUTRICION!$C$27,1,0))</f>
        <v>0</v>
      </c>
      <c r="U76" s="27" t="n">
        <f aca="false">IF(COUNTA($D76:$P76)=0,0,IF(N($O76)&gt;=NUTRICION!$C$30,1,0))</f>
        <v>0</v>
      </c>
      <c r="V76" s="27" t="n">
        <f aca="false">IF(COUNTA($D76:$P76)=0,0,IF(N($P76)&gt;=NUTRICION!$C$29,1,0))</f>
        <v>0</v>
      </c>
      <c r="W76" s="10" t="str">
        <f aca="false">IF(COUNTA($D76:$P76)=0,"",SUMPRODUCT($D$2:$K$2,$D76:$K76)+SUMPRODUCT($R$2:$V$2,$R76:$V76))</f>
        <v/>
      </c>
      <c r="X76" s="48" t="str">
        <f aca="false">IF($W76="","",$W76/100)</f>
        <v/>
      </c>
      <c r="Y76" s="14"/>
    </row>
    <row r="77" customFormat="false" ht="15" hidden="false" customHeight="false" outlineLevel="0" collapsed="false">
      <c r="A77" s="44" t="n">
        <v>46345</v>
      </c>
      <c r="B77" s="27" t="s">
        <v>784</v>
      </c>
      <c r="C77" s="39" t="s">
        <v>780</v>
      </c>
      <c r="D77" s="39"/>
      <c r="E77" s="39"/>
      <c r="F77" s="39"/>
      <c r="G77" s="39"/>
      <c r="H77" s="39"/>
      <c r="I77" s="39"/>
      <c r="J77" s="39"/>
      <c r="K77" s="39"/>
      <c r="L77" s="31"/>
      <c r="M77" s="45"/>
      <c r="N77" s="46"/>
      <c r="O77" s="31"/>
      <c r="P77" s="46"/>
      <c r="Q77" s="47" t="n">
        <f aca="false">IF($C77="AYUNO",0,IF($C77="LIGERO",NUTRICION!$C$21,NUTRICION!$C$20))</f>
        <v>2750</v>
      </c>
      <c r="R77" s="27" t="n">
        <f aca="false">IF(COUNTA($D77:$P77)=0,0,IF($C77="AYUNO",IF(N($M77)&lt;=200,1,0),IF(N($L77)&gt;=NUTRICION!$C$23,1,0)))</f>
        <v>0</v>
      </c>
      <c r="S77" s="27" t="n">
        <f aca="false">IF(COUNTA($D77:$P77)=0,0,IF($C77="AYUNO",IF(N($M77)&lt;=200,1,0),IF(AND(N($M77)&gt;=$Q77-150,N($M77)&lt;=$Q77+150),1,0)))</f>
        <v>0</v>
      </c>
      <c r="T77" s="27" t="n">
        <f aca="false">IF(COUNTA($D77:$P77)=0,0,IF(N($N77)&gt;=NUTRICION!$C$27,1,0))</f>
        <v>0</v>
      </c>
      <c r="U77" s="27" t="n">
        <f aca="false">IF(COUNTA($D77:$P77)=0,0,IF(N($O77)&gt;=NUTRICION!$C$30,1,0))</f>
        <v>0</v>
      </c>
      <c r="V77" s="27" t="n">
        <f aca="false">IF(COUNTA($D77:$P77)=0,0,IF(N($P77)&gt;=NUTRICION!$C$29,1,0))</f>
        <v>0</v>
      </c>
      <c r="W77" s="10" t="str">
        <f aca="false">IF(COUNTA($D77:$P77)=0,"",SUMPRODUCT($D$2:$K$2,$D77:$K77)+SUMPRODUCT($R$2:$V$2,$R77:$V77))</f>
        <v/>
      </c>
      <c r="X77" s="48" t="str">
        <f aca="false">IF($W77="","",$W77/100)</f>
        <v/>
      </c>
      <c r="Y77" s="14"/>
    </row>
    <row r="78" customFormat="false" ht="15" hidden="false" customHeight="false" outlineLevel="0" collapsed="false">
      <c r="A78" s="44" t="n">
        <v>46346</v>
      </c>
      <c r="B78" s="50" t="s">
        <v>785</v>
      </c>
      <c r="C78" s="39" t="s">
        <v>786</v>
      </c>
      <c r="D78" s="39"/>
      <c r="E78" s="39"/>
      <c r="F78" s="39"/>
      <c r="G78" s="39"/>
      <c r="H78" s="39"/>
      <c r="I78" s="39"/>
      <c r="J78" s="39"/>
      <c r="K78" s="39"/>
      <c r="L78" s="31"/>
      <c r="M78" s="45"/>
      <c r="N78" s="46"/>
      <c r="O78" s="31"/>
      <c r="P78" s="46"/>
      <c r="Q78" s="47" t="n">
        <f aca="false">IF($C78="AYUNO",0,IF($C78="LIGERO",NUTRICION!$C$21,NUTRICION!$C$20))</f>
        <v>0</v>
      </c>
      <c r="R78" s="27" t="n">
        <f aca="false">IF(COUNTA($D78:$P78)=0,0,IF($C78="AYUNO",IF(N($M78)&lt;=200,1,0),IF(N($L78)&gt;=NUTRICION!$C$23,1,0)))</f>
        <v>0</v>
      </c>
      <c r="S78" s="27" t="n">
        <f aca="false">IF(COUNTA($D78:$P78)=0,0,IF($C78="AYUNO",IF(N($M78)&lt;=200,1,0),IF(AND(N($M78)&gt;=$Q78-150,N($M78)&lt;=$Q78+150),1,0)))</f>
        <v>0</v>
      </c>
      <c r="T78" s="27" t="n">
        <f aca="false">IF(COUNTA($D78:$P78)=0,0,IF(N($N78)&gt;=NUTRICION!$C$27,1,0))</f>
        <v>0</v>
      </c>
      <c r="U78" s="27" t="n">
        <f aca="false">IF(COUNTA($D78:$P78)=0,0,IF(N($O78)&gt;=NUTRICION!$C$30,1,0))</f>
        <v>0</v>
      </c>
      <c r="V78" s="27" t="n">
        <f aca="false">IF(COUNTA($D78:$P78)=0,0,IF(N($P78)&gt;=NUTRICION!$C$29,1,0))</f>
        <v>0</v>
      </c>
      <c r="W78" s="10" t="str">
        <f aca="false">IF(COUNTA($D78:$P78)=0,"",SUMPRODUCT($D$2:$K$2,$D78:$K78)+SUMPRODUCT($R$2:$V$2,$R78:$V78))</f>
        <v/>
      </c>
      <c r="X78" s="48" t="str">
        <f aca="false">IF($W78="","",$W78/100)</f>
        <v/>
      </c>
      <c r="Y78" s="14"/>
    </row>
    <row r="79" customFormat="false" ht="15" hidden="false" customHeight="false" outlineLevel="0" collapsed="false">
      <c r="A79" s="44" t="n">
        <v>46347</v>
      </c>
      <c r="B79" s="51" t="s">
        <v>787</v>
      </c>
      <c r="C79" s="39" t="s">
        <v>788</v>
      </c>
      <c r="D79" s="39"/>
      <c r="E79" s="39"/>
      <c r="F79" s="39"/>
      <c r="G79" s="39"/>
      <c r="H79" s="39"/>
      <c r="I79" s="39"/>
      <c r="J79" s="39"/>
      <c r="K79" s="39"/>
      <c r="L79" s="31"/>
      <c r="M79" s="45"/>
      <c r="N79" s="46"/>
      <c r="O79" s="31"/>
      <c r="P79" s="46"/>
      <c r="Q79" s="47" t="n">
        <f aca="false">IF($C79="AYUNO",0,IF($C79="LIGERO",NUTRICION!$C$21,NUTRICION!$C$20))</f>
        <v>2450</v>
      </c>
      <c r="R79" s="27" t="n">
        <f aca="false">IF(COUNTA($D79:$P79)=0,0,IF($C79="AYUNO",IF(N($M79)&lt;=200,1,0),IF(N($L79)&gt;=NUTRICION!$C$23,1,0)))</f>
        <v>0</v>
      </c>
      <c r="S79" s="27" t="n">
        <f aca="false">IF(COUNTA($D79:$P79)=0,0,IF($C79="AYUNO",IF(N($M79)&lt;=200,1,0),IF(AND(N($M79)&gt;=$Q79-150,N($M79)&lt;=$Q79+150),1,0)))</f>
        <v>0</v>
      </c>
      <c r="T79" s="27" t="n">
        <f aca="false">IF(COUNTA($D79:$P79)=0,0,IF(N($N79)&gt;=NUTRICION!$C$27,1,0))</f>
        <v>0</v>
      </c>
      <c r="U79" s="27" t="n">
        <f aca="false">IF(COUNTA($D79:$P79)=0,0,IF(N($O79)&gt;=NUTRICION!$C$30,1,0))</f>
        <v>0</v>
      </c>
      <c r="V79" s="27" t="n">
        <f aca="false">IF(COUNTA($D79:$P79)=0,0,IF(N($P79)&gt;=NUTRICION!$C$29,1,0))</f>
        <v>0</v>
      </c>
      <c r="W79" s="10" t="str">
        <f aca="false">IF(COUNTA($D79:$P79)=0,"",SUMPRODUCT($D$2:$K$2,$D79:$K79)+SUMPRODUCT($R$2:$V$2,$R79:$V79))</f>
        <v/>
      </c>
      <c r="X79" s="48" t="str">
        <f aca="false">IF($W79="","",$W79/100)</f>
        <v/>
      </c>
      <c r="Y79" s="14"/>
    </row>
    <row r="80" customFormat="false" ht="15" hidden="false" customHeight="false" outlineLevel="0" collapsed="false">
      <c r="A80" s="44" t="n">
        <v>46348</v>
      </c>
      <c r="B80" s="51" t="s">
        <v>789</v>
      </c>
      <c r="C80" s="39" t="s">
        <v>788</v>
      </c>
      <c r="D80" s="39"/>
      <c r="E80" s="39"/>
      <c r="F80" s="39"/>
      <c r="G80" s="39"/>
      <c r="H80" s="39"/>
      <c r="I80" s="39"/>
      <c r="J80" s="39"/>
      <c r="K80" s="39"/>
      <c r="L80" s="31"/>
      <c r="M80" s="45"/>
      <c r="N80" s="46"/>
      <c r="O80" s="31"/>
      <c r="P80" s="46"/>
      <c r="Q80" s="47" t="n">
        <f aca="false">IF($C80="AYUNO",0,IF($C80="LIGERO",NUTRICION!$C$21,NUTRICION!$C$20))</f>
        <v>2450</v>
      </c>
      <c r="R80" s="27" t="n">
        <f aca="false">IF(COUNTA($D80:$P80)=0,0,IF($C80="AYUNO",IF(N($M80)&lt;=200,1,0),IF(N($L80)&gt;=NUTRICION!$C$23,1,0)))</f>
        <v>0</v>
      </c>
      <c r="S80" s="27" t="n">
        <f aca="false">IF(COUNTA($D80:$P80)=0,0,IF($C80="AYUNO",IF(N($M80)&lt;=200,1,0),IF(AND(N($M80)&gt;=$Q80-150,N($M80)&lt;=$Q80+150),1,0)))</f>
        <v>0</v>
      </c>
      <c r="T80" s="27" t="n">
        <f aca="false">IF(COUNTA($D80:$P80)=0,0,IF(N($N80)&gt;=NUTRICION!$C$27,1,0))</f>
        <v>0</v>
      </c>
      <c r="U80" s="27" t="n">
        <f aca="false">IF(COUNTA($D80:$P80)=0,0,IF(N($O80)&gt;=NUTRICION!$C$30,1,0))</f>
        <v>0</v>
      </c>
      <c r="V80" s="27" t="n">
        <f aca="false">IF(COUNTA($D80:$P80)=0,0,IF(N($P80)&gt;=NUTRICION!$C$29,1,0))</f>
        <v>0</v>
      </c>
      <c r="W80" s="10" t="str">
        <f aca="false">IF(COUNTA($D80:$P80)=0,"",SUMPRODUCT($D$2:$K$2,$D80:$K80)+SUMPRODUCT($R$2:$V$2,$R80:$V80))</f>
        <v/>
      </c>
      <c r="X80" s="48" t="str">
        <f aca="false">IF($W80="","",$W80/100)</f>
        <v/>
      </c>
      <c r="Y80" s="14"/>
    </row>
    <row r="81" customFormat="false" ht="15" hidden="false" customHeight="false" outlineLevel="0" collapsed="false">
      <c r="A81" s="44" t="n">
        <v>46349</v>
      </c>
      <c r="B81" s="27" t="s">
        <v>779</v>
      </c>
      <c r="C81" s="39" t="s">
        <v>780</v>
      </c>
      <c r="D81" s="39"/>
      <c r="E81" s="39"/>
      <c r="F81" s="39"/>
      <c r="G81" s="39"/>
      <c r="H81" s="39"/>
      <c r="I81" s="39"/>
      <c r="J81" s="39"/>
      <c r="K81" s="39"/>
      <c r="L81" s="31"/>
      <c r="M81" s="45"/>
      <c r="N81" s="46"/>
      <c r="O81" s="31"/>
      <c r="P81" s="46"/>
      <c r="Q81" s="47" t="n">
        <f aca="false">IF($C81="AYUNO",0,IF($C81="LIGERO",NUTRICION!$C$21,NUTRICION!$C$20))</f>
        <v>2750</v>
      </c>
      <c r="R81" s="27" t="n">
        <f aca="false">IF(COUNTA($D81:$P81)=0,0,IF($C81="AYUNO",IF(N($M81)&lt;=200,1,0),IF(N($L81)&gt;=NUTRICION!$C$23,1,0)))</f>
        <v>0</v>
      </c>
      <c r="S81" s="27" t="n">
        <f aca="false">IF(COUNTA($D81:$P81)=0,0,IF($C81="AYUNO",IF(N($M81)&lt;=200,1,0),IF(AND(N($M81)&gt;=$Q81-150,N($M81)&lt;=$Q81+150),1,0)))</f>
        <v>0</v>
      </c>
      <c r="T81" s="27" t="n">
        <f aca="false">IF(COUNTA($D81:$P81)=0,0,IF(N($N81)&gt;=NUTRICION!$C$27,1,0))</f>
        <v>0</v>
      </c>
      <c r="U81" s="27" t="n">
        <f aca="false">IF(COUNTA($D81:$P81)=0,0,IF(N($O81)&gt;=NUTRICION!$C$30,1,0))</f>
        <v>0</v>
      </c>
      <c r="V81" s="27" t="n">
        <f aca="false">IF(COUNTA($D81:$P81)=0,0,IF(N($P81)&gt;=NUTRICION!$C$29,1,0))</f>
        <v>0</v>
      </c>
      <c r="W81" s="10" t="str">
        <f aca="false">IF(COUNTA($D81:$P81)=0,"",SUMPRODUCT($D$2:$K$2,$D81:$K81)+SUMPRODUCT($R$2:$V$2,$R81:$V81))</f>
        <v/>
      </c>
      <c r="X81" s="48" t="str">
        <f aca="false">IF($W81="","",$W81/100)</f>
        <v/>
      </c>
      <c r="Y81" s="14"/>
    </row>
    <row r="82" customFormat="false" ht="15" hidden="false" customHeight="false" outlineLevel="0" collapsed="false">
      <c r="A82" s="44" t="n">
        <v>46350</v>
      </c>
      <c r="B82" s="27" t="s">
        <v>782</v>
      </c>
      <c r="C82" s="39" t="s">
        <v>780</v>
      </c>
      <c r="D82" s="39"/>
      <c r="E82" s="39"/>
      <c r="F82" s="39"/>
      <c r="G82" s="39"/>
      <c r="H82" s="39"/>
      <c r="I82" s="39"/>
      <c r="J82" s="39"/>
      <c r="K82" s="39"/>
      <c r="L82" s="31"/>
      <c r="M82" s="45"/>
      <c r="N82" s="46"/>
      <c r="O82" s="31"/>
      <c r="P82" s="46"/>
      <c r="Q82" s="47" t="n">
        <f aca="false">IF($C82="AYUNO",0,IF($C82="LIGERO",NUTRICION!$C$21,NUTRICION!$C$20))</f>
        <v>2750</v>
      </c>
      <c r="R82" s="27" t="n">
        <f aca="false">IF(COUNTA($D82:$P82)=0,0,IF($C82="AYUNO",IF(N($M82)&lt;=200,1,0),IF(N($L82)&gt;=NUTRICION!$C$23,1,0)))</f>
        <v>0</v>
      </c>
      <c r="S82" s="27" t="n">
        <f aca="false">IF(COUNTA($D82:$P82)=0,0,IF($C82="AYUNO",IF(N($M82)&lt;=200,1,0),IF(AND(N($M82)&gt;=$Q82-150,N($M82)&lt;=$Q82+150),1,0)))</f>
        <v>0</v>
      </c>
      <c r="T82" s="27" t="n">
        <f aca="false">IF(COUNTA($D82:$P82)=0,0,IF(N($N82)&gt;=NUTRICION!$C$27,1,0))</f>
        <v>0</v>
      </c>
      <c r="U82" s="27" t="n">
        <f aca="false">IF(COUNTA($D82:$P82)=0,0,IF(N($O82)&gt;=NUTRICION!$C$30,1,0))</f>
        <v>0</v>
      </c>
      <c r="V82" s="27" t="n">
        <f aca="false">IF(COUNTA($D82:$P82)=0,0,IF(N($P82)&gt;=NUTRICION!$C$29,1,0))</f>
        <v>0</v>
      </c>
      <c r="W82" s="10" t="str">
        <f aca="false">IF(COUNTA($D82:$P82)=0,"",SUMPRODUCT($D$2:$K$2,$D82:$K82)+SUMPRODUCT($R$2:$V$2,$R82:$V82))</f>
        <v/>
      </c>
      <c r="X82" s="48" t="str">
        <f aca="false">IF($W82="","",$W82/100)</f>
        <v/>
      </c>
      <c r="Y82" s="14"/>
    </row>
    <row r="83" customFormat="false" ht="15" hidden="false" customHeight="false" outlineLevel="0" collapsed="false">
      <c r="A83" s="44" t="n">
        <v>46351</v>
      </c>
      <c r="B83" s="27" t="s">
        <v>783</v>
      </c>
      <c r="C83" s="39" t="s">
        <v>780</v>
      </c>
      <c r="D83" s="39"/>
      <c r="E83" s="39"/>
      <c r="F83" s="39"/>
      <c r="G83" s="39"/>
      <c r="H83" s="39"/>
      <c r="I83" s="39"/>
      <c r="J83" s="39"/>
      <c r="K83" s="39"/>
      <c r="L83" s="31"/>
      <c r="M83" s="45"/>
      <c r="N83" s="46"/>
      <c r="O83" s="31"/>
      <c r="P83" s="46"/>
      <c r="Q83" s="47" t="n">
        <f aca="false">IF($C83="AYUNO",0,IF($C83="LIGERO",NUTRICION!$C$21,NUTRICION!$C$20))</f>
        <v>2750</v>
      </c>
      <c r="R83" s="27" t="n">
        <f aca="false">IF(COUNTA($D83:$P83)=0,0,IF($C83="AYUNO",IF(N($M83)&lt;=200,1,0),IF(N($L83)&gt;=NUTRICION!$C$23,1,0)))</f>
        <v>0</v>
      </c>
      <c r="S83" s="27" t="n">
        <f aca="false">IF(COUNTA($D83:$P83)=0,0,IF($C83="AYUNO",IF(N($M83)&lt;=200,1,0),IF(AND(N($M83)&gt;=$Q83-150,N($M83)&lt;=$Q83+150),1,0)))</f>
        <v>0</v>
      </c>
      <c r="T83" s="27" t="n">
        <f aca="false">IF(COUNTA($D83:$P83)=0,0,IF(N($N83)&gt;=NUTRICION!$C$27,1,0))</f>
        <v>0</v>
      </c>
      <c r="U83" s="27" t="n">
        <f aca="false">IF(COUNTA($D83:$P83)=0,0,IF(N($O83)&gt;=NUTRICION!$C$30,1,0))</f>
        <v>0</v>
      </c>
      <c r="V83" s="27" t="n">
        <f aca="false">IF(COUNTA($D83:$P83)=0,0,IF(N($P83)&gt;=NUTRICION!$C$29,1,0))</f>
        <v>0</v>
      </c>
      <c r="W83" s="10" t="str">
        <f aca="false">IF(COUNTA($D83:$P83)=0,"",SUMPRODUCT($D$2:$K$2,$D83:$K83)+SUMPRODUCT($R$2:$V$2,$R83:$V83))</f>
        <v/>
      </c>
      <c r="X83" s="48" t="str">
        <f aca="false">IF($W83="","",$W83/100)</f>
        <v/>
      </c>
      <c r="Y83" s="14"/>
    </row>
    <row r="84" customFormat="false" ht="15" hidden="false" customHeight="false" outlineLevel="0" collapsed="false">
      <c r="A84" s="44" t="n">
        <v>46352</v>
      </c>
      <c r="B84" s="27" t="s">
        <v>784</v>
      </c>
      <c r="C84" s="39" t="s">
        <v>780</v>
      </c>
      <c r="D84" s="39"/>
      <c r="E84" s="39"/>
      <c r="F84" s="39"/>
      <c r="G84" s="39"/>
      <c r="H84" s="39"/>
      <c r="I84" s="39"/>
      <c r="J84" s="39"/>
      <c r="K84" s="39"/>
      <c r="L84" s="31"/>
      <c r="M84" s="45"/>
      <c r="N84" s="46"/>
      <c r="O84" s="31"/>
      <c r="P84" s="46"/>
      <c r="Q84" s="47" t="n">
        <f aca="false">IF($C84="AYUNO",0,IF($C84="LIGERO",NUTRICION!$C$21,NUTRICION!$C$20))</f>
        <v>2750</v>
      </c>
      <c r="R84" s="27" t="n">
        <f aca="false">IF(COUNTA($D84:$P84)=0,0,IF($C84="AYUNO",IF(N($M84)&lt;=200,1,0),IF(N($L84)&gt;=NUTRICION!$C$23,1,0)))</f>
        <v>0</v>
      </c>
      <c r="S84" s="27" t="n">
        <f aca="false">IF(COUNTA($D84:$P84)=0,0,IF($C84="AYUNO",IF(N($M84)&lt;=200,1,0),IF(AND(N($M84)&gt;=$Q84-150,N($M84)&lt;=$Q84+150),1,0)))</f>
        <v>0</v>
      </c>
      <c r="T84" s="27" t="n">
        <f aca="false">IF(COUNTA($D84:$P84)=0,0,IF(N($N84)&gt;=NUTRICION!$C$27,1,0))</f>
        <v>0</v>
      </c>
      <c r="U84" s="27" t="n">
        <f aca="false">IF(COUNTA($D84:$P84)=0,0,IF(N($O84)&gt;=NUTRICION!$C$30,1,0))</f>
        <v>0</v>
      </c>
      <c r="V84" s="27" t="n">
        <f aca="false">IF(COUNTA($D84:$P84)=0,0,IF(N($P84)&gt;=NUTRICION!$C$29,1,0))</f>
        <v>0</v>
      </c>
      <c r="W84" s="10" t="str">
        <f aca="false">IF(COUNTA($D84:$P84)=0,"",SUMPRODUCT($D$2:$K$2,$D84:$K84)+SUMPRODUCT($R$2:$V$2,$R84:$V84))</f>
        <v/>
      </c>
      <c r="X84" s="48" t="str">
        <f aca="false">IF($W84="","",$W84/100)</f>
        <v/>
      </c>
      <c r="Y84" s="14"/>
    </row>
    <row r="85" customFormat="false" ht="15" hidden="false" customHeight="false" outlineLevel="0" collapsed="false">
      <c r="A85" s="44" t="n">
        <v>46353</v>
      </c>
      <c r="B85" s="50" t="s">
        <v>785</v>
      </c>
      <c r="C85" s="39" t="s">
        <v>786</v>
      </c>
      <c r="D85" s="39"/>
      <c r="E85" s="39"/>
      <c r="F85" s="39"/>
      <c r="G85" s="39"/>
      <c r="H85" s="39"/>
      <c r="I85" s="39"/>
      <c r="J85" s="39"/>
      <c r="K85" s="39"/>
      <c r="L85" s="31"/>
      <c r="M85" s="45"/>
      <c r="N85" s="46"/>
      <c r="O85" s="31"/>
      <c r="P85" s="46"/>
      <c r="Q85" s="47" t="n">
        <f aca="false">IF($C85="AYUNO",0,IF($C85="LIGERO",NUTRICION!$C$21,NUTRICION!$C$20))</f>
        <v>0</v>
      </c>
      <c r="R85" s="27" t="n">
        <f aca="false">IF(COUNTA($D85:$P85)=0,0,IF($C85="AYUNO",IF(N($M85)&lt;=200,1,0),IF(N($L85)&gt;=NUTRICION!$C$23,1,0)))</f>
        <v>0</v>
      </c>
      <c r="S85" s="27" t="n">
        <f aca="false">IF(COUNTA($D85:$P85)=0,0,IF($C85="AYUNO",IF(N($M85)&lt;=200,1,0),IF(AND(N($M85)&gt;=$Q85-150,N($M85)&lt;=$Q85+150),1,0)))</f>
        <v>0</v>
      </c>
      <c r="T85" s="27" t="n">
        <f aca="false">IF(COUNTA($D85:$P85)=0,0,IF(N($N85)&gt;=NUTRICION!$C$27,1,0))</f>
        <v>0</v>
      </c>
      <c r="U85" s="27" t="n">
        <f aca="false">IF(COUNTA($D85:$P85)=0,0,IF(N($O85)&gt;=NUTRICION!$C$30,1,0))</f>
        <v>0</v>
      </c>
      <c r="V85" s="27" t="n">
        <f aca="false">IF(COUNTA($D85:$P85)=0,0,IF(N($P85)&gt;=NUTRICION!$C$29,1,0))</f>
        <v>0</v>
      </c>
      <c r="W85" s="10" t="str">
        <f aca="false">IF(COUNTA($D85:$P85)=0,"",SUMPRODUCT($D$2:$K$2,$D85:$K85)+SUMPRODUCT($R$2:$V$2,$R85:$V85))</f>
        <v/>
      </c>
      <c r="X85" s="48" t="str">
        <f aca="false">IF($W85="","",$W85/100)</f>
        <v/>
      </c>
      <c r="Y85" s="14"/>
    </row>
    <row r="86" customFormat="false" ht="15" hidden="false" customHeight="false" outlineLevel="0" collapsed="false">
      <c r="A86" s="44" t="n">
        <v>46354</v>
      </c>
      <c r="B86" s="51" t="s">
        <v>787</v>
      </c>
      <c r="C86" s="39" t="s">
        <v>788</v>
      </c>
      <c r="D86" s="39"/>
      <c r="E86" s="39"/>
      <c r="F86" s="39"/>
      <c r="G86" s="39"/>
      <c r="H86" s="39"/>
      <c r="I86" s="39"/>
      <c r="J86" s="39"/>
      <c r="K86" s="39"/>
      <c r="L86" s="31"/>
      <c r="M86" s="45"/>
      <c r="N86" s="46"/>
      <c r="O86" s="31"/>
      <c r="P86" s="46"/>
      <c r="Q86" s="47" t="n">
        <f aca="false">IF($C86="AYUNO",0,IF($C86="LIGERO",NUTRICION!$C$21,NUTRICION!$C$20))</f>
        <v>2450</v>
      </c>
      <c r="R86" s="27" t="n">
        <f aca="false">IF(COUNTA($D86:$P86)=0,0,IF($C86="AYUNO",IF(N($M86)&lt;=200,1,0),IF(N($L86)&gt;=NUTRICION!$C$23,1,0)))</f>
        <v>0</v>
      </c>
      <c r="S86" s="27" t="n">
        <f aca="false">IF(COUNTA($D86:$P86)=0,0,IF($C86="AYUNO",IF(N($M86)&lt;=200,1,0),IF(AND(N($M86)&gt;=$Q86-150,N($M86)&lt;=$Q86+150),1,0)))</f>
        <v>0</v>
      </c>
      <c r="T86" s="27" t="n">
        <f aca="false">IF(COUNTA($D86:$P86)=0,0,IF(N($N86)&gt;=NUTRICION!$C$27,1,0))</f>
        <v>0</v>
      </c>
      <c r="U86" s="27" t="n">
        <f aca="false">IF(COUNTA($D86:$P86)=0,0,IF(N($O86)&gt;=NUTRICION!$C$30,1,0))</f>
        <v>0</v>
      </c>
      <c r="V86" s="27" t="n">
        <f aca="false">IF(COUNTA($D86:$P86)=0,0,IF(N($P86)&gt;=NUTRICION!$C$29,1,0))</f>
        <v>0</v>
      </c>
      <c r="W86" s="10" t="str">
        <f aca="false">IF(COUNTA($D86:$P86)=0,"",SUMPRODUCT($D$2:$K$2,$D86:$K86)+SUMPRODUCT($R$2:$V$2,$R86:$V86))</f>
        <v/>
      </c>
      <c r="X86" s="48" t="str">
        <f aca="false">IF($W86="","",$W86/100)</f>
        <v/>
      </c>
      <c r="Y86" s="14"/>
    </row>
    <row r="87" customFormat="false" ht="15" hidden="false" customHeight="false" outlineLevel="0" collapsed="false">
      <c r="A87" s="44" t="n">
        <v>46355</v>
      </c>
      <c r="B87" s="51" t="s">
        <v>789</v>
      </c>
      <c r="C87" s="39" t="s">
        <v>788</v>
      </c>
      <c r="D87" s="39"/>
      <c r="E87" s="39"/>
      <c r="F87" s="39"/>
      <c r="G87" s="39"/>
      <c r="H87" s="39"/>
      <c r="I87" s="39"/>
      <c r="J87" s="39"/>
      <c r="K87" s="39"/>
      <c r="L87" s="31"/>
      <c r="M87" s="45"/>
      <c r="N87" s="46"/>
      <c r="O87" s="31"/>
      <c r="P87" s="46"/>
      <c r="Q87" s="47" t="n">
        <f aca="false">IF($C87="AYUNO",0,IF($C87="LIGERO",NUTRICION!$C$21,NUTRICION!$C$20))</f>
        <v>2450</v>
      </c>
      <c r="R87" s="27" t="n">
        <f aca="false">IF(COUNTA($D87:$P87)=0,0,IF($C87="AYUNO",IF(N($M87)&lt;=200,1,0),IF(N($L87)&gt;=NUTRICION!$C$23,1,0)))</f>
        <v>0</v>
      </c>
      <c r="S87" s="27" t="n">
        <f aca="false">IF(COUNTA($D87:$P87)=0,0,IF($C87="AYUNO",IF(N($M87)&lt;=200,1,0),IF(AND(N($M87)&gt;=$Q87-150,N($M87)&lt;=$Q87+150),1,0)))</f>
        <v>0</v>
      </c>
      <c r="T87" s="27" t="n">
        <f aca="false">IF(COUNTA($D87:$P87)=0,0,IF(N($N87)&gt;=NUTRICION!$C$27,1,0))</f>
        <v>0</v>
      </c>
      <c r="U87" s="27" t="n">
        <f aca="false">IF(COUNTA($D87:$P87)=0,0,IF(N($O87)&gt;=NUTRICION!$C$30,1,0))</f>
        <v>0</v>
      </c>
      <c r="V87" s="27" t="n">
        <f aca="false">IF(COUNTA($D87:$P87)=0,0,IF(N($P87)&gt;=NUTRICION!$C$29,1,0))</f>
        <v>0</v>
      </c>
      <c r="W87" s="10" t="str">
        <f aca="false">IF(COUNTA($D87:$P87)=0,"",SUMPRODUCT($D$2:$K$2,$D87:$K87)+SUMPRODUCT($R$2:$V$2,$R87:$V87))</f>
        <v/>
      </c>
      <c r="X87" s="48" t="str">
        <f aca="false">IF($W87="","",$W87/100)</f>
        <v/>
      </c>
      <c r="Y87" s="14"/>
    </row>
    <row r="88" customFormat="false" ht="15" hidden="false" customHeight="false" outlineLevel="0" collapsed="false">
      <c r="A88" s="44" t="n">
        <v>46356</v>
      </c>
      <c r="B88" s="27" t="s">
        <v>779</v>
      </c>
      <c r="C88" s="39" t="s">
        <v>780</v>
      </c>
      <c r="D88" s="39"/>
      <c r="E88" s="39"/>
      <c r="F88" s="39"/>
      <c r="G88" s="39"/>
      <c r="H88" s="39"/>
      <c r="I88" s="39"/>
      <c r="J88" s="39"/>
      <c r="K88" s="39"/>
      <c r="L88" s="31"/>
      <c r="M88" s="45"/>
      <c r="N88" s="46"/>
      <c r="O88" s="31"/>
      <c r="P88" s="46"/>
      <c r="Q88" s="47" t="n">
        <f aca="false">IF($C88="AYUNO",0,IF($C88="LIGERO",NUTRICION!$C$21,NUTRICION!$C$20))</f>
        <v>2750</v>
      </c>
      <c r="R88" s="27" t="n">
        <f aca="false">IF(COUNTA($D88:$P88)=0,0,IF($C88="AYUNO",IF(N($M88)&lt;=200,1,0),IF(N($L88)&gt;=NUTRICION!$C$23,1,0)))</f>
        <v>0</v>
      </c>
      <c r="S88" s="27" t="n">
        <f aca="false">IF(COUNTA($D88:$P88)=0,0,IF($C88="AYUNO",IF(N($M88)&lt;=200,1,0),IF(AND(N($M88)&gt;=$Q88-150,N($M88)&lt;=$Q88+150),1,0)))</f>
        <v>0</v>
      </c>
      <c r="T88" s="27" t="n">
        <f aca="false">IF(COUNTA($D88:$P88)=0,0,IF(N($N88)&gt;=NUTRICION!$C$27,1,0))</f>
        <v>0</v>
      </c>
      <c r="U88" s="27" t="n">
        <f aca="false">IF(COUNTA($D88:$P88)=0,0,IF(N($O88)&gt;=NUTRICION!$C$30,1,0))</f>
        <v>0</v>
      </c>
      <c r="V88" s="27" t="n">
        <f aca="false">IF(COUNTA($D88:$P88)=0,0,IF(N($P88)&gt;=NUTRICION!$C$29,1,0))</f>
        <v>0</v>
      </c>
      <c r="W88" s="10" t="str">
        <f aca="false">IF(COUNTA($D88:$P88)=0,"",SUMPRODUCT($D$2:$K$2,$D88:$K88)+SUMPRODUCT($R$2:$V$2,$R88:$V88))</f>
        <v/>
      </c>
      <c r="X88" s="48" t="str">
        <f aca="false">IF($W88="","",$W88/100)</f>
        <v/>
      </c>
      <c r="Y88" s="14"/>
    </row>
    <row r="89" customFormat="false" ht="15" hidden="false" customHeight="false" outlineLevel="0" collapsed="false">
      <c r="A89" s="44" t="n">
        <v>46357</v>
      </c>
      <c r="B89" s="27" t="s">
        <v>782</v>
      </c>
      <c r="C89" s="39" t="s">
        <v>780</v>
      </c>
      <c r="D89" s="39"/>
      <c r="E89" s="39"/>
      <c r="F89" s="39"/>
      <c r="G89" s="39"/>
      <c r="H89" s="39"/>
      <c r="I89" s="39"/>
      <c r="J89" s="39"/>
      <c r="K89" s="39"/>
      <c r="L89" s="31"/>
      <c r="M89" s="45"/>
      <c r="N89" s="46"/>
      <c r="O89" s="31"/>
      <c r="P89" s="46"/>
      <c r="Q89" s="47" t="n">
        <f aca="false">IF($C89="AYUNO",0,IF($C89="LIGERO",NUTRICION!$C$21,NUTRICION!$C$20))</f>
        <v>2750</v>
      </c>
      <c r="R89" s="27" t="n">
        <f aca="false">IF(COUNTA($D89:$P89)=0,0,IF($C89="AYUNO",IF(N($M89)&lt;=200,1,0),IF(N($L89)&gt;=NUTRICION!$C$23,1,0)))</f>
        <v>0</v>
      </c>
      <c r="S89" s="27" t="n">
        <f aca="false">IF(COUNTA($D89:$P89)=0,0,IF($C89="AYUNO",IF(N($M89)&lt;=200,1,0),IF(AND(N($M89)&gt;=$Q89-150,N($M89)&lt;=$Q89+150),1,0)))</f>
        <v>0</v>
      </c>
      <c r="T89" s="27" t="n">
        <f aca="false">IF(COUNTA($D89:$P89)=0,0,IF(N($N89)&gt;=NUTRICION!$C$27,1,0))</f>
        <v>0</v>
      </c>
      <c r="U89" s="27" t="n">
        <f aca="false">IF(COUNTA($D89:$P89)=0,0,IF(N($O89)&gt;=NUTRICION!$C$30,1,0))</f>
        <v>0</v>
      </c>
      <c r="V89" s="27" t="n">
        <f aca="false">IF(COUNTA($D89:$P89)=0,0,IF(N($P89)&gt;=NUTRICION!$C$29,1,0))</f>
        <v>0</v>
      </c>
      <c r="W89" s="10" t="str">
        <f aca="false">IF(COUNTA($D89:$P89)=0,"",SUMPRODUCT($D$2:$K$2,$D89:$K89)+SUMPRODUCT($R$2:$V$2,$R89:$V89))</f>
        <v/>
      </c>
      <c r="X89" s="48" t="str">
        <f aca="false">IF($W89="","",$W89/100)</f>
        <v/>
      </c>
      <c r="Y89" s="14"/>
    </row>
    <row r="90" customFormat="false" ht="15" hidden="false" customHeight="false" outlineLevel="0" collapsed="false">
      <c r="A90" s="44" t="n">
        <v>46358</v>
      </c>
      <c r="B90" s="27" t="s">
        <v>783</v>
      </c>
      <c r="C90" s="39" t="s">
        <v>780</v>
      </c>
      <c r="D90" s="39"/>
      <c r="E90" s="39"/>
      <c r="F90" s="39"/>
      <c r="G90" s="39"/>
      <c r="H90" s="39"/>
      <c r="I90" s="39"/>
      <c r="J90" s="39"/>
      <c r="K90" s="39"/>
      <c r="L90" s="31"/>
      <c r="M90" s="45"/>
      <c r="N90" s="46"/>
      <c r="O90" s="31"/>
      <c r="P90" s="46"/>
      <c r="Q90" s="47" t="n">
        <f aca="false">IF($C90="AYUNO",0,IF($C90="LIGERO",NUTRICION!$C$21,NUTRICION!$C$20))</f>
        <v>2750</v>
      </c>
      <c r="R90" s="27" t="n">
        <f aca="false">IF(COUNTA($D90:$P90)=0,0,IF($C90="AYUNO",IF(N($M90)&lt;=200,1,0),IF(N($L90)&gt;=NUTRICION!$C$23,1,0)))</f>
        <v>0</v>
      </c>
      <c r="S90" s="27" t="n">
        <f aca="false">IF(COUNTA($D90:$P90)=0,0,IF($C90="AYUNO",IF(N($M90)&lt;=200,1,0),IF(AND(N($M90)&gt;=$Q90-150,N($M90)&lt;=$Q90+150),1,0)))</f>
        <v>0</v>
      </c>
      <c r="T90" s="27" t="n">
        <f aca="false">IF(COUNTA($D90:$P90)=0,0,IF(N($N90)&gt;=NUTRICION!$C$27,1,0))</f>
        <v>0</v>
      </c>
      <c r="U90" s="27" t="n">
        <f aca="false">IF(COUNTA($D90:$P90)=0,0,IF(N($O90)&gt;=NUTRICION!$C$30,1,0))</f>
        <v>0</v>
      </c>
      <c r="V90" s="27" t="n">
        <f aca="false">IF(COUNTA($D90:$P90)=0,0,IF(N($P90)&gt;=NUTRICION!$C$29,1,0))</f>
        <v>0</v>
      </c>
      <c r="W90" s="10" t="str">
        <f aca="false">IF(COUNTA($D90:$P90)=0,"",SUMPRODUCT($D$2:$K$2,$D90:$K90)+SUMPRODUCT($R$2:$V$2,$R90:$V90))</f>
        <v/>
      </c>
      <c r="X90" s="48" t="str">
        <f aca="false">IF($W90="","",$W90/100)</f>
        <v/>
      </c>
      <c r="Y90" s="14"/>
    </row>
    <row r="91" customFormat="false" ht="15" hidden="false" customHeight="false" outlineLevel="0" collapsed="false">
      <c r="A91" s="44" t="n">
        <v>46359</v>
      </c>
      <c r="B91" s="27" t="s">
        <v>784</v>
      </c>
      <c r="C91" s="39" t="s">
        <v>780</v>
      </c>
      <c r="D91" s="39"/>
      <c r="E91" s="39"/>
      <c r="F91" s="39"/>
      <c r="G91" s="39"/>
      <c r="H91" s="39"/>
      <c r="I91" s="39"/>
      <c r="J91" s="39"/>
      <c r="K91" s="39"/>
      <c r="L91" s="31"/>
      <c r="M91" s="45"/>
      <c r="N91" s="46"/>
      <c r="O91" s="31"/>
      <c r="P91" s="46"/>
      <c r="Q91" s="47" t="n">
        <f aca="false">IF($C91="AYUNO",0,IF($C91="LIGERO",NUTRICION!$C$21,NUTRICION!$C$20))</f>
        <v>2750</v>
      </c>
      <c r="R91" s="27" t="n">
        <f aca="false">IF(COUNTA($D91:$P91)=0,0,IF($C91="AYUNO",IF(N($M91)&lt;=200,1,0),IF(N($L91)&gt;=NUTRICION!$C$23,1,0)))</f>
        <v>0</v>
      </c>
      <c r="S91" s="27" t="n">
        <f aca="false">IF(COUNTA($D91:$P91)=0,0,IF($C91="AYUNO",IF(N($M91)&lt;=200,1,0),IF(AND(N($M91)&gt;=$Q91-150,N($M91)&lt;=$Q91+150),1,0)))</f>
        <v>0</v>
      </c>
      <c r="T91" s="27" t="n">
        <f aca="false">IF(COUNTA($D91:$P91)=0,0,IF(N($N91)&gt;=NUTRICION!$C$27,1,0))</f>
        <v>0</v>
      </c>
      <c r="U91" s="27" t="n">
        <f aca="false">IF(COUNTA($D91:$P91)=0,0,IF(N($O91)&gt;=NUTRICION!$C$30,1,0))</f>
        <v>0</v>
      </c>
      <c r="V91" s="27" t="n">
        <f aca="false">IF(COUNTA($D91:$P91)=0,0,IF(N($P91)&gt;=NUTRICION!$C$29,1,0))</f>
        <v>0</v>
      </c>
      <c r="W91" s="10" t="str">
        <f aca="false">IF(COUNTA($D91:$P91)=0,"",SUMPRODUCT($D$2:$K$2,$D91:$K91)+SUMPRODUCT($R$2:$V$2,$R91:$V91))</f>
        <v/>
      </c>
      <c r="X91" s="48" t="str">
        <f aca="false">IF($W91="","",$W91/100)</f>
        <v/>
      </c>
      <c r="Y91" s="14"/>
    </row>
    <row r="92" customFormat="false" ht="15" hidden="false" customHeight="false" outlineLevel="0" collapsed="false">
      <c r="A92" s="44" t="n">
        <v>46360</v>
      </c>
      <c r="B92" s="50" t="s">
        <v>785</v>
      </c>
      <c r="C92" s="39" t="s">
        <v>786</v>
      </c>
      <c r="D92" s="39"/>
      <c r="E92" s="39"/>
      <c r="F92" s="39"/>
      <c r="G92" s="39"/>
      <c r="H92" s="39"/>
      <c r="I92" s="39"/>
      <c r="J92" s="39"/>
      <c r="K92" s="39"/>
      <c r="L92" s="31"/>
      <c r="M92" s="45"/>
      <c r="N92" s="46"/>
      <c r="O92" s="31"/>
      <c r="P92" s="46"/>
      <c r="Q92" s="47" t="n">
        <f aca="false">IF($C92="AYUNO",0,IF($C92="LIGERO",NUTRICION!$C$21,NUTRICION!$C$20))</f>
        <v>0</v>
      </c>
      <c r="R92" s="27" t="n">
        <f aca="false">IF(COUNTA($D92:$P92)=0,0,IF($C92="AYUNO",IF(N($M92)&lt;=200,1,0),IF(N($L92)&gt;=NUTRICION!$C$23,1,0)))</f>
        <v>0</v>
      </c>
      <c r="S92" s="27" t="n">
        <f aca="false">IF(COUNTA($D92:$P92)=0,0,IF($C92="AYUNO",IF(N($M92)&lt;=200,1,0),IF(AND(N($M92)&gt;=$Q92-150,N($M92)&lt;=$Q92+150),1,0)))</f>
        <v>0</v>
      </c>
      <c r="T92" s="27" t="n">
        <f aca="false">IF(COUNTA($D92:$P92)=0,0,IF(N($N92)&gt;=NUTRICION!$C$27,1,0))</f>
        <v>0</v>
      </c>
      <c r="U92" s="27" t="n">
        <f aca="false">IF(COUNTA($D92:$P92)=0,0,IF(N($O92)&gt;=NUTRICION!$C$30,1,0))</f>
        <v>0</v>
      </c>
      <c r="V92" s="27" t="n">
        <f aca="false">IF(COUNTA($D92:$P92)=0,0,IF(N($P92)&gt;=NUTRICION!$C$29,1,0))</f>
        <v>0</v>
      </c>
      <c r="W92" s="10" t="str">
        <f aca="false">IF(COUNTA($D92:$P92)=0,"",SUMPRODUCT($D$2:$K$2,$D92:$K92)+SUMPRODUCT($R$2:$V$2,$R92:$V92))</f>
        <v/>
      </c>
      <c r="X92" s="48" t="str">
        <f aca="false">IF($W92="","",$W92/100)</f>
        <v/>
      </c>
      <c r="Y92" s="14"/>
    </row>
    <row r="93" customFormat="false" ht="15" hidden="false" customHeight="false" outlineLevel="0" collapsed="false">
      <c r="A93" s="44" t="n">
        <v>46361</v>
      </c>
      <c r="B93" s="51" t="s">
        <v>787</v>
      </c>
      <c r="C93" s="39" t="s">
        <v>788</v>
      </c>
      <c r="D93" s="39"/>
      <c r="E93" s="39"/>
      <c r="F93" s="39"/>
      <c r="G93" s="39"/>
      <c r="H93" s="39"/>
      <c r="I93" s="39"/>
      <c r="J93" s="39"/>
      <c r="K93" s="39"/>
      <c r="L93" s="31"/>
      <c r="M93" s="45"/>
      <c r="N93" s="46"/>
      <c r="O93" s="31"/>
      <c r="P93" s="46"/>
      <c r="Q93" s="47" t="n">
        <f aca="false">IF($C93="AYUNO",0,IF($C93="LIGERO",NUTRICION!$C$21,NUTRICION!$C$20))</f>
        <v>2450</v>
      </c>
      <c r="R93" s="27" t="n">
        <f aca="false">IF(COUNTA($D93:$P93)=0,0,IF($C93="AYUNO",IF(N($M93)&lt;=200,1,0),IF(N($L93)&gt;=NUTRICION!$C$23,1,0)))</f>
        <v>0</v>
      </c>
      <c r="S93" s="27" t="n">
        <f aca="false">IF(COUNTA($D93:$P93)=0,0,IF($C93="AYUNO",IF(N($M93)&lt;=200,1,0),IF(AND(N($M93)&gt;=$Q93-150,N($M93)&lt;=$Q93+150),1,0)))</f>
        <v>0</v>
      </c>
      <c r="T93" s="27" t="n">
        <f aca="false">IF(COUNTA($D93:$P93)=0,0,IF(N($N93)&gt;=NUTRICION!$C$27,1,0))</f>
        <v>0</v>
      </c>
      <c r="U93" s="27" t="n">
        <f aca="false">IF(COUNTA($D93:$P93)=0,0,IF(N($O93)&gt;=NUTRICION!$C$30,1,0))</f>
        <v>0</v>
      </c>
      <c r="V93" s="27" t="n">
        <f aca="false">IF(COUNTA($D93:$P93)=0,0,IF(N($P93)&gt;=NUTRICION!$C$29,1,0))</f>
        <v>0</v>
      </c>
      <c r="W93" s="10" t="str">
        <f aca="false">IF(COUNTA($D93:$P93)=0,"",SUMPRODUCT($D$2:$K$2,$D93:$K93)+SUMPRODUCT($R$2:$V$2,$R93:$V93))</f>
        <v/>
      </c>
      <c r="X93" s="48" t="str">
        <f aca="false">IF($W93="","",$W93/100)</f>
        <v/>
      </c>
      <c r="Y93" s="14"/>
    </row>
    <row r="94" customFormat="false" ht="15" hidden="false" customHeight="false" outlineLevel="0" collapsed="false">
      <c r="A94" s="44" t="n">
        <v>46362</v>
      </c>
      <c r="B94" s="51" t="s">
        <v>789</v>
      </c>
      <c r="C94" s="39" t="s">
        <v>788</v>
      </c>
      <c r="D94" s="39"/>
      <c r="E94" s="39"/>
      <c r="F94" s="39"/>
      <c r="G94" s="39"/>
      <c r="H94" s="39"/>
      <c r="I94" s="39"/>
      <c r="J94" s="39"/>
      <c r="K94" s="39"/>
      <c r="L94" s="31"/>
      <c r="M94" s="45"/>
      <c r="N94" s="46"/>
      <c r="O94" s="31"/>
      <c r="P94" s="46"/>
      <c r="Q94" s="47" t="n">
        <f aca="false">IF($C94="AYUNO",0,IF($C94="LIGERO",NUTRICION!$C$21,NUTRICION!$C$20))</f>
        <v>2450</v>
      </c>
      <c r="R94" s="27" t="n">
        <f aca="false">IF(COUNTA($D94:$P94)=0,0,IF($C94="AYUNO",IF(N($M94)&lt;=200,1,0),IF(N($L94)&gt;=NUTRICION!$C$23,1,0)))</f>
        <v>0</v>
      </c>
      <c r="S94" s="27" t="n">
        <f aca="false">IF(COUNTA($D94:$P94)=0,0,IF($C94="AYUNO",IF(N($M94)&lt;=200,1,0),IF(AND(N($M94)&gt;=$Q94-150,N($M94)&lt;=$Q94+150),1,0)))</f>
        <v>0</v>
      </c>
      <c r="T94" s="27" t="n">
        <f aca="false">IF(COUNTA($D94:$P94)=0,0,IF(N($N94)&gt;=NUTRICION!$C$27,1,0))</f>
        <v>0</v>
      </c>
      <c r="U94" s="27" t="n">
        <f aca="false">IF(COUNTA($D94:$P94)=0,0,IF(N($O94)&gt;=NUTRICION!$C$30,1,0))</f>
        <v>0</v>
      </c>
      <c r="V94" s="27" t="n">
        <f aca="false">IF(COUNTA($D94:$P94)=0,0,IF(N($P94)&gt;=NUTRICION!$C$29,1,0))</f>
        <v>0</v>
      </c>
      <c r="W94" s="10" t="str">
        <f aca="false">IF(COUNTA($D94:$P94)=0,"",SUMPRODUCT($D$2:$K$2,$D94:$K94)+SUMPRODUCT($R$2:$V$2,$R94:$V94))</f>
        <v/>
      </c>
      <c r="X94" s="48" t="str">
        <f aca="false">IF($W94="","",$W94/100)</f>
        <v/>
      </c>
      <c r="Y9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4" min="3" style="0" width="16"/>
    <col collapsed="false" customWidth="true" hidden="false" outlineLevel="0" max="5" min="5" style="0" width="14"/>
    <col collapsed="false" customWidth="true" hidden="false" outlineLevel="0" max="6" min="6" style="0" width="48"/>
  </cols>
  <sheetData>
    <row r="1" customFormat="false" ht="24" hidden="false" customHeight="true" outlineLevel="0" collapsed="false">
      <c r="A1" s="1" t="s">
        <v>790</v>
      </c>
      <c r="B1" s="2"/>
      <c r="C1" s="2"/>
      <c r="D1" s="2"/>
      <c r="E1" s="2"/>
      <c r="F1" s="2"/>
    </row>
    <row r="2" customFormat="false" ht="15" hidden="false" customHeight="false" outlineLevel="0" collapsed="false">
      <c r="B2" s="7" t="s">
        <v>791</v>
      </c>
    </row>
    <row r="4" customFormat="false" ht="15" hidden="false" customHeight="false" outlineLevel="0" collapsed="false">
      <c r="B4" s="5" t="s">
        <v>792</v>
      </c>
      <c r="C4" s="6"/>
      <c r="D4" s="6"/>
      <c r="E4" s="6"/>
      <c r="F4" s="6"/>
    </row>
    <row r="5" customFormat="false" ht="15" hidden="false" customHeight="false" outlineLevel="0" collapsed="false">
      <c r="B5" s="3" t="s">
        <v>793</v>
      </c>
      <c r="C5" s="47" t="n">
        <f aca="false">COUNT(BITACORA!$W$4:$W$200)</f>
        <v>1</v>
      </c>
    </row>
    <row r="6" customFormat="false" ht="15" hidden="false" customHeight="false" outlineLevel="0" collapsed="false">
      <c r="B6" s="3" t="s">
        <v>794</v>
      </c>
      <c r="C6" s="28" t="n">
        <f aca="false">IFERROR(AVERAGE(BITACORA!$W$4:$W$200),0)</f>
        <v>78</v>
      </c>
    </row>
    <row r="7" customFormat="false" ht="15" hidden="false" customHeight="false" outlineLevel="0" collapsed="false">
      <c r="B7" s="3" t="s">
        <v>795</v>
      </c>
      <c r="C7" s="52" t="n">
        <f aca="false">IFERROR(AVERAGE(BITACORA!$W$4:$W$200)/100,0)</f>
        <v>0.78</v>
      </c>
    </row>
    <row r="8" customFormat="false" ht="15" hidden="false" customHeight="false" outlineLevel="0" collapsed="false">
      <c r="B8" s="3" t="s">
        <v>796</v>
      </c>
      <c r="C8" s="52" t="str">
        <f aca="true">IFERROR(AVERAGEIFS(BITACORA!$W$4:$W$200,BITACORA!$A$4:$A$200,"&gt;="&amp;TODAY()-6,BITACORA!$A$4:$A$200,"&lt;="&amp;TODAY())/100,"sin datos")</f>
        <v>sin datos</v>
      </c>
    </row>
    <row r="9" customFormat="false" ht="15" hidden="false" customHeight="false" outlineLevel="0" collapsed="false">
      <c r="B9" s="3" t="s">
        <v>797</v>
      </c>
      <c r="C9" s="47" t="n">
        <f aca="false">COUNTIF(BITACORA!$W$4:$W$200,"&gt;=80")</f>
        <v>0</v>
      </c>
    </row>
    <row r="10" customFormat="false" ht="15" hidden="false" customHeight="false" outlineLevel="0" collapsed="false">
      <c r="B10" s="3" t="s">
        <v>798</v>
      </c>
      <c r="C10" s="47" t="n">
        <f aca="false">COUNTIF(BITACORA!$W$4:$W$200,"&lt;60")</f>
        <v>0</v>
      </c>
    </row>
    <row r="12" customFormat="false" ht="15" hidden="false" customHeight="false" outlineLevel="0" collapsed="false">
      <c r="B12" s="5" t="s">
        <v>799</v>
      </c>
      <c r="C12" s="6"/>
      <c r="D12" s="6"/>
      <c r="E12" s="6"/>
      <c r="F12" s="6"/>
    </row>
    <row r="13" customFormat="false" ht="30" hidden="false" customHeight="true" outlineLevel="0" collapsed="false">
      <c r="A13" s="9"/>
      <c r="B13" s="9" t="s">
        <v>800</v>
      </c>
      <c r="C13" s="9" t="s">
        <v>801</v>
      </c>
      <c r="D13" s="9" t="s">
        <v>802</v>
      </c>
      <c r="E13" s="9" t="s">
        <v>803</v>
      </c>
      <c r="F13" s="9" t="s">
        <v>804</v>
      </c>
    </row>
    <row r="14" customFormat="false" ht="15" hidden="false" customHeight="false" outlineLevel="0" collapsed="false">
      <c r="B14" s="53" t="s">
        <v>805</v>
      </c>
    </row>
    <row r="15" customFormat="false" ht="15" hidden="false" customHeight="false" outlineLevel="0" collapsed="false">
      <c r="B15" s="54" t="s">
        <v>806</v>
      </c>
      <c r="C15" s="47" t="n">
        <f aca="false">SUM(BITACORA!$D$4:$D$200)*BITACORA!$D$2</f>
        <v>8</v>
      </c>
      <c r="D15" s="47" t="n">
        <f aca="false">COUNT(BITACORA!$W$4:$W$200)*BITACORA!$D$2</f>
        <v>8</v>
      </c>
      <c r="E15" s="52" t="n">
        <f aca="false">IFERROR($C15/$D15,"")</f>
        <v>1</v>
      </c>
      <c r="F15" s="11" t="str">
        <f aca="false">IF($D15=0,"",IF($E15&gt;=0.9,"Sólido",IF($E15&gt;=0.75,"Aceptable",IF($E15&gt;=0.5,"Aquí se está fugando el resultado","Renglón crítico"))))</f>
        <v>Sólido</v>
      </c>
    </row>
    <row r="16" customFormat="false" ht="15" hidden="false" customHeight="false" outlineLevel="0" collapsed="false">
      <c r="B16" s="54" t="s">
        <v>807</v>
      </c>
      <c r="C16" s="47" t="n">
        <f aca="false">SUM(BITACORA!$E$4:$E$200)*BITACORA!$E$2</f>
        <v>4</v>
      </c>
      <c r="D16" s="47" t="n">
        <f aca="false">COUNT(BITACORA!$W$4:$W$200)*BITACORA!$E$2</f>
        <v>4</v>
      </c>
      <c r="E16" s="52" t="n">
        <f aca="false">IFERROR($C16/$D16,"")</f>
        <v>1</v>
      </c>
      <c r="F16" s="11" t="str">
        <f aca="false">IF($D16=0,"",IF($E16&gt;=0.9,"Sólido",IF($E16&gt;=0.75,"Aceptable",IF($E16&gt;=0.5,"Aquí se está fugando el resultado","Renglón crítico"))))</f>
        <v>Sólido</v>
      </c>
    </row>
    <row r="17" customFormat="false" ht="15" hidden="false" customHeight="false" outlineLevel="0" collapsed="false">
      <c r="B17" s="54" t="s">
        <v>808</v>
      </c>
      <c r="C17" s="47" t="n">
        <f aca="false">SUM(BITACORA!$F$4:$F$200)*BITACORA!$F$2</f>
        <v>6</v>
      </c>
      <c r="D17" s="47" t="n">
        <f aca="false">COUNT(BITACORA!$W$4:$W$200)*BITACORA!$F$2</f>
        <v>6</v>
      </c>
      <c r="E17" s="52" t="n">
        <f aca="false">IFERROR($C17/$D17,"")</f>
        <v>1</v>
      </c>
      <c r="F17" s="11" t="str">
        <f aca="false">IF($D17=0,"",IF($E17&gt;=0.9,"Sólido",IF($E17&gt;=0.75,"Aceptable",IF($E17&gt;=0.5,"Aquí se está fugando el resultado","Renglón crítico"))))</f>
        <v>Sólido</v>
      </c>
    </row>
    <row r="18" customFormat="false" ht="15" hidden="false" customHeight="false" outlineLevel="0" collapsed="false">
      <c r="B18" s="55" t="s">
        <v>809</v>
      </c>
      <c r="C18" s="56" t="n">
        <f aca="false">SUM(C15:C17)</f>
        <v>18</v>
      </c>
      <c r="D18" s="56" t="n">
        <f aca="false">SUM(D15:D17)</f>
        <v>18</v>
      </c>
      <c r="E18" s="57" t="n">
        <f aca="false">IFERROR($C18/$D18,"")</f>
        <v>1</v>
      </c>
      <c r="F18" s="6"/>
    </row>
    <row r="20" customFormat="false" ht="15" hidden="false" customHeight="false" outlineLevel="0" collapsed="false">
      <c r="B20" s="53" t="s">
        <v>810</v>
      </c>
    </row>
    <row r="21" customFormat="false" ht="15" hidden="false" customHeight="false" outlineLevel="0" collapsed="false">
      <c r="B21" s="54" t="s">
        <v>811</v>
      </c>
      <c r="C21" s="47" t="n">
        <f aca="false">SUM(BITACORA!$G$4:$G$200)*BITACORA!$G$2</f>
        <v>15</v>
      </c>
      <c r="D21" s="47" t="n">
        <f aca="false">COUNT(BITACORA!$W$4:$W$200)*BITACORA!$G$2</f>
        <v>15</v>
      </c>
      <c r="E21" s="52" t="n">
        <f aca="false">IFERROR($C21/$D21,"")</f>
        <v>1</v>
      </c>
      <c r="F21" s="11" t="str">
        <f aca="false">IF($D21=0,"",IF($E21&gt;=0.9,"Sólido",IF($E21&gt;=0.75,"Aceptable",IF($E21&gt;=0.5,"Aquí se está fugando el resultado","Renglón crítico"))))</f>
        <v>Sólido</v>
      </c>
    </row>
    <row r="22" customFormat="false" ht="15" hidden="false" customHeight="false" outlineLevel="0" collapsed="false">
      <c r="B22" s="54" t="s">
        <v>812</v>
      </c>
      <c r="C22" s="47" t="n">
        <f aca="false">SUM(BITACORA!$H$4:$H$200)*BITACORA!$H$2</f>
        <v>6</v>
      </c>
      <c r="D22" s="47" t="n">
        <f aca="false">COUNT(BITACORA!$W$4:$W$200)*BITACORA!$H$2</f>
        <v>6</v>
      </c>
      <c r="E22" s="52" t="n">
        <f aca="false">IFERROR($C22/$D22,"")</f>
        <v>1</v>
      </c>
      <c r="F22" s="11" t="str">
        <f aca="false">IF($D22=0,"",IF($E22&gt;=0.9,"Sólido",IF($E22&gt;=0.75,"Aceptable",IF($E22&gt;=0.5,"Aquí se está fugando el resultado","Renglón crítico"))))</f>
        <v>Sólido</v>
      </c>
    </row>
    <row r="23" customFormat="false" ht="15" hidden="false" customHeight="false" outlineLevel="0" collapsed="false">
      <c r="B23" s="55" t="s">
        <v>813</v>
      </c>
      <c r="C23" s="56" t="n">
        <f aca="false">SUM(C21:C22)</f>
        <v>21</v>
      </c>
      <c r="D23" s="56" t="n">
        <f aca="false">SUM(D21:D22)</f>
        <v>21</v>
      </c>
      <c r="E23" s="57" t="n">
        <f aca="false">IFERROR($C23/$D23,"")</f>
        <v>1</v>
      </c>
      <c r="F23" s="6"/>
    </row>
    <row r="25" customFormat="false" ht="15" hidden="false" customHeight="false" outlineLevel="0" collapsed="false">
      <c r="B25" s="53" t="s">
        <v>814</v>
      </c>
    </row>
    <row r="26" customFormat="false" ht="15" hidden="false" customHeight="false" outlineLevel="0" collapsed="false">
      <c r="B26" s="54" t="s">
        <v>815</v>
      </c>
      <c r="C26" s="47" t="n">
        <f aca="false">SUM(BITACORA!$R$4:$R$200)*BITACORA!$R$2</f>
        <v>12</v>
      </c>
      <c r="D26" s="47" t="n">
        <f aca="false">COUNT(BITACORA!$W$4:$W$200)*BITACORA!$R$2</f>
        <v>12</v>
      </c>
      <c r="E26" s="52" t="n">
        <f aca="false">IFERROR($C26/$D26,"")</f>
        <v>1</v>
      </c>
      <c r="F26" s="11" t="str">
        <f aca="false">IF($D26=0,"",IF($E26&gt;=0.9,"Sólido",IF($E26&gt;=0.75,"Aceptable",IF($E26&gt;=0.5,"Aquí se está fugando el resultado","Renglón crítico"))))</f>
        <v>Sólido</v>
      </c>
    </row>
    <row r="27" customFormat="false" ht="15" hidden="false" customHeight="false" outlineLevel="0" collapsed="false">
      <c r="B27" s="54" t="s">
        <v>816</v>
      </c>
      <c r="C27" s="47" t="n">
        <f aca="false">SUM(BITACORA!$S$4:$S$200)*BITACORA!$S$2</f>
        <v>10</v>
      </c>
      <c r="D27" s="47" t="n">
        <f aca="false">COUNT(BITACORA!$W$4:$W$200)*BITACORA!$S$2</f>
        <v>10</v>
      </c>
      <c r="E27" s="52" t="n">
        <f aca="false">IFERROR($C27/$D27,"")</f>
        <v>1</v>
      </c>
      <c r="F27" s="11" t="str">
        <f aca="false">IF($D27=0,"",IF($E27&gt;=0.9,"Sólido",IF($E27&gt;=0.75,"Aceptable",IF($E27&gt;=0.5,"Aquí se está fugando el resultado","Renglón crítico"))))</f>
        <v>Sólido</v>
      </c>
    </row>
    <row r="28" customFormat="false" ht="15" hidden="false" customHeight="false" outlineLevel="0" collapsed="false">
      <c r="B28" s="54" t="s">
        <v>817</v>
      </c>
      <c r="C28" s="47" t="n">
        <f aca="false">SUM(BITACORA!$T$4:$T$200)*BITACORA!$T$2</f>
        <v>8</v>
      </c>
      <c r="D28" s="47" t="n">
        <f aca="false">COUNT(BITACORA!$W$4:$W$200)*BITACORA!$T$2</f>
        <v>8</v>
      </c>
      <c r="E28" s="52" t="n">
        <f aca="false">IFERROR($C28/$D28,"")</f>
        <v>1</v>
      </c>
      <c r="F28" s="11" t="str">
        <f aca="false">IF($D28=0,"",IF($E28&gt;=0.9,"Sólido",IF($E28&gt;=0.75,"Aceptable",IF($E28&gt;=0.5,"Aquí se está fugando el resultado","Renglón crítico"))))</f>
        <v>Sólido</v>
      </c>
    </row>
    <row r="29" customFormat="false" ht="15" hidden="false" customHeight="false" outlineLevel="0" collapsed="false">
      <c r="B29" s="54" t="s">
        <v>818</v>
      </c>
      <c r="C29" s="47" t="n">
        <f aca="false">SUM(BITACORA!$K$4:$K$200)*BITACORA!$K$2</f>
        <v>3</v>
      </c>
      <c r="D29" s="47" t="n">
        <f aca="false">COUNT(BITACORA!$W$4:$W$200)*BITACORA!$K$2</f>
        <v>3</v>
      </c>
      <c r="E29" s="52" t="n">
        <f aca="false">IFERROR($C29/$D29,"")</f>
        <v>1</v>
      </c>
      <c r="F29" s="11" t="str">
        <f aca="false">IF($D29=0,"",IF($E29&gt;=0.9,"Sólido",IF($E29&gt;=0.75,"Aceptable",IF($E29&gt;=0.5,"Aquí se está fugando el resultado","Renglón crítico"))))</f>
        <v>Sólido</v>
      </c>
    </row>
    <row r="30" customFormat="false" ht="15" hidden="false" customHeight="false" outlineLevel="0" collapsed="false">
      <c r="B30" s="55" t="s">
        <v>819</v>
      </c>
      <c r="C30" s="56" t="n">
        <f aca="false">SUM(C26:C29)</f>
        <v>33</v>
      </c>
      <c r="D30" s="56" t="n">
        <f aca="false">SUM(D26:D29)</f>
        <v>33</v>
      </c>
      <c r="E30" s="57" t="n">
        <f aca="false">IFERROR($C30/$D30,"")</f>
        <v>1</v>
      </c>
      <c r="F30" s="6"/>
    </row>
    <row r="32" customFormat="false" ht="15" hidden="false" customHeight="false" outlineLevel="0" collapsed="false">
      <c r="B32" s="53" t="s">
        <v>820</v>
      </c>
    </row>
    <row r="33" customFormat="false" ht="15" hidden="false" customHeight="false" outlineLevel="0" collapsed="false">
      <c r="B33" s="54" t="s">
        <v>821</v>
      </c>
      <c r="C33" s="47" t="n">
        <f aca="false">SUM(BITACORA!$I$4:$I$200)*BITACORA!$I$2</f>
        <v>6</v>
      </c>
      <c r="D33" s="47" t="n">
        <f aca="false">COUNT(BITACORA!$W$4:$W$200)*BITACORA!$I$2</f>
        <v>6</v>
      </c>
      <c r="E33" s="52" t="n">
        <f aca="false">IFERROR($C33/$D33,"")</f>
        <v>1</v>
      </c>
      <c r="F33" s="11" t="str">
        <f aca="false">IF($D33=0,"",IF($E33&gt;=0.9,"Sólido",IF($E33&gt;=0.75,"Aceptable",IF($E33&gt;=0.5,"Aquí se está fugando el resultado","Renglón crítico"))))</f>
        <v>Sólido</v>
      </c>
    </row>
    <row r="34" customFormat="false" ht="15" hidden="false" customHeight="false" outlineLevel="0" collapsed="false">
      <c r="B34" s="55" t="s">
        <v>822</v>
      </c>
      <c r="C34" s="56" t="n">
        <f aca="false">SUM(C33:C33)</f>
        <v>6</v>
      </c>
      <c r="D34" s="56" t="n">
        <f aca="false">SUM(D33:D33)</f>
        <v>6</v>
      </c>
      <c r="E34" s="57" t="n">
        <f aca="false">IFERROR($C34/$D34,"")</f>
        <v>1</v>
      </c>
      <c r="F34" s="6"/>
    </row>
    <row r="36" customFormat="false" ht="15" hidden="false" customHeight="false" outlineLevel="0" collapsed="false">
      <c r="B36" s="53" t="s">
        <v>823</v>
      </c>
    </row>
    <row r="37" customFormat="false" ht="15" hidden="false" customHeight="false" outlineLevel="0" collapsed="false">
      <c r="B37" s="54" t="s">
        <v>824</v>
      </c>
      <c r="C37" s="47" t="n">
        <f aca="false">SUM(BITACORA!$U$4:$U$200)*BITACORA!$U$2</f>
        <v>0</v>
      </c>
      <c r="D37" s="47" t="n">
        <f aca="false">COUNT(BITACORA!$W$4:$W$200)*BITACORA!$U$2</f>
        <v>13</v>
      </c>
      <c r="E37" s="52" t="n">
        <f aca="false">IFERROR($C37/$D37,"")</f>
        <v>0</v>
      </c>
      <c r="F37" s="11" t="str">
        <f aca="false">IF($D37=0,"",IF($E37&gt;=0.9,"Sólido",IF($E37&gt;=0.75,"Aceptable",IF($E37&gt;=0.5,"Aquí se está fugando el resultado","Renglón crítico"))))</f>
        <v>Renglón crítico</v>
      </c>
    </row>
    <row r="38" customFormat="false" ht="15" hidden="false" customHeight="false" outlineLevel="0" collapsed="false">
      <c r="B38" s="54" t="s">
        <v>825</v>
      </c>
      <c r="C38" s="47" t="n">
        <f aca="false">SUM(BITACORA!$J$4:$J$200)*BITACORA!$J$2</f>
        <v>0</v>
      </c>
      <c r="D38" s="47" t="n">
        <f aca="false">COUNT(BITACORA!$W$4:$W$200)*BITACORA!$J$2</f>
        <v>3</v>
      </c>
      <c r="E38" s="52" t="n">
        <f aca="false">IFERROR($C38/$D38,"")</f>
        <v>0</v>
      </c>
      <c r="F38" s="11" t="str">
        <f aca="false">IF($D38=0,"",IF($E38&gt;=0.9,"Sólido",IF($E38&gt;=0.75,"Aceptable",IF($E38&gt;=0.5,"Aquí se está fugando el resultado","Renglón crítico"))))</f>
        <v>Renglón crítico</v>
      </c>
    </row>
    <row r="39" customFormat="false" ht="15" hidden="false" customHeight="false" outlineLevel="0" collapsed="false">
      <c r="B39" s="55" t="s">
        <v>826</v>
      </c>
      <c r="C39" s="56" t="n">
        <f aca="false">SUM(C37:C38)</f>
        <v>0</v>
      </c>
      <c r="D39" s="56" t="n">
        <f aca="false">SUM(D37:D38)</f>
        <v>16</v>
      </c>
      <c r="E39" s="57" t="n">
        <f aca="false">IFERROR($C39/$D39,"")</f>
        <v>0</v>
      </c>
      <c r="F39" s="6"/>
    </row>
    <row r="41" customFormat="false" ht="15" hidden="false" customHeight="false" outlineLevel="0" collapsed="false">
      <c r="B41" s="53" t="s">
        <v>827</v>
      </c>
    </row>
    <row r="42" customFormat="false" ht="15" hidden="false" customHeight="false" outlineLevel="0" collapsed="false">
      <c r="B42" s="54" t="s">
        <v>828</v>
      </c>
      <c r="C42" s="47" t="n">
        <f aca="false">SUM(BITACORA!$V$4:$V$200)*BITACORA!$V$2</f>
        <v>0</v>
      </c>
      <c r="D42" s="47" t="n">
        <f aca="false">COUNT(BITACORA!$W$4:$W$200)*BITACORA!$V$2</f>
        <v>6</v>
      </c>
      <c r="E42" s="52" t="n">
        <f aca="false">IFERROR($C42/$D42,"")</f>
        <v>0</v>
      </c>
      <c r="F42" s="11" t="str">
        <f aca="false">IF($D42=0,"",IF($E42&gt;=0.9,"Sólido",IF($E42&gt;=0.75,"Aceptable",IF($E42&gt;=0.5,"Aquí se está fugando el resultado","Renglón crítico"))))</f>
        <v>Renglón crítico</v>
      </c>
    </row>
    <row r="43" customFormat="false" ht="15" hidden="false" customHeight="false" outlineLevel="0" collapsed="false">
      <c r="B43" s="55" t="s">
        <v>829</v>
      </c>
      <c r="C43" s="56" t="n">
        <f aca="false">SUM(C42:C42)</f>
        <v>0</v>
      </c>
      <c r="D43" s="56" t="n">
        <f aca="false">SUM(D42:D42)</f>
        <v>6</v>
      </c>
      <c r="E43" s="57" t="n">
        <f aca="false">IFERROR($C43/$D43,"")</f>
        <v>0</v>
      </c>
      <c r="F43" s="6"/>
    </row>
    <row r="45" customFormat="false" ht="15" hidden="false" customHeight="false" outlineLevel="0" collapsed="false">
      <c r="A45" s="2"/>
      <c r="B45" s="8" t="s">
        <v>830</v>
      </c>
      <c r="C45" s="58" t="n">
        <f aca="false">C18+C23+C30+C34+C39+C43</f>
        <v>78</v>
      </c>
      <c r="D45" s="58" t="n">
        <f aca="false">D18+D23+D30+D34+D39+D43</f>
        <v>100</v>
      </c>
      <c r="E45" s="59" t="n">
        <f aca="false">IFERROR($C45/$D45,"")</f>
        <v>0.78</v>
      </c>
      <c r="F45" s="38" t="s">
        <v>831</v>
      </c>
    </row>
    <row r="47" customFormat="false" ht="15" hidden="false" customHeight="false" outlineLevel="0" collapsed="false">
      <c r="B47" s="15" t="s">
        <v>832</v>
      </c>
    </row>
    <row r="48" customFormat="false" ht="25.5" hidden="false" customHeight="true" outlineLevel="0" collapsed="false">
      <c r="B48" s="16" t="s">
        <v>833</v>
      </c>
      <c r="C48" s="16"/>
      <c r="D48" s="16"/>
      <c r="E48" s="16"/>
      <c r="F48" s="16"/>
    </row>
    <row r="49" customFormat="false" ht="25.5" hidden="false" customHeight="true" outlineLevel="0" collapsed="false">
      <c r="B49" s="16" t="s">
        <v>834</v>
      </c>
      <c r="C49" s="16"/>
      <c r="D49" s="16"/>
      <c r="E49" s="16"/>
      <c r="F49" s="16"/>
    </row>
    <row r="50" customFormat="false" ht="25.5" hidden="false" customHeight="true" outlineLevel="0" collapsed="false">
      <c r="B50" s="16" t="s">
        <v>835</v>
      </c>
      <c r="C50" s="16"/>
      <c r="D50" s="16"/>
      <c r="E50" s="16"/>
      <c r="F50" s="16"/>
    </row>
    <row r="51" customFormat="false" ht="25.5" hidden="false" customHeight="true" outlineLevel="0" collapsed="false">
      <c r="B51" s="16" t="s">
        <v>836</v>
      </c>
      <c r="C51" s="16"/>
      <c r="D51" s="16"/>
      <c r="E51" s="16"/>
      <c r="F51" s="16"/>
    </row>
  </sheetData>
  <mergeCells count="4">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3"/>
    <col collapsed="false" customWidth="true" hidden="false" outlineLevel="0" max="4" min="4" style="0" width="16"/>
    <col collapsed="false" customWidth="true" hidden="false" outlineLevel="0" max="7" min="5" style="0" width="13"/>
    <col collapsed="false" customWidth="true" hidden="false" outlineLevel="0" max="8" min="8" style="0" width="42"/>
  </cols>
  <sheetData>
    <row r="1" customFormat="false" ht="24" hidden="false" customHeight="true" outlineLevel="0" collapsed="false">
      <c r="A1" s="1" t="s">
        <v>837</v>
      </c>
      <c r="B1" s="2"/>
      <c r="C1" s="2"/>
      <c r="D1" s="2"/>
      <c r="E1" s="2"/>
      <c r="F1" s="2"/>
      <c r="G1" s="2"/>
      <c r="H1" s="2"/>
    </row>
    <row r="2" customFormat="false" ht="15" hidden="false" customHeight="false" outlineLevel="0" collapsed="false">
      <c r="A2" s="7" t="s">
        <v>838</v>
      </c>
    </row>
    <row r="3" customFormat="false" ht="30" hidden="false" customHeight="true" outlineLevel="0" collapsed="false">
      <c r="A3" s="9" t="s">
        <v>754</v>
      </c>
      <c r="B3" s="9" t="s">
        <v>839</v>
      </c>
      <c r="C3" s="9" t="s">
        <v>840</v>
      </c>
      <c r="D3" s="9" t="s">
        <v>841</v>
      </c>
      <c r="E3" s="9" t="s">
        <v>842</v>
      </c>
      <c r="F3" s="9" t="s">
        <v>843</v>
      </c>
      <c r="G3" s="9" t="s">
        <v>844</v>
      </c>
      <c r="H3" s="9" t="s">
        <v>778</v>
      </c>
    </row>
    <row r="4" customFormat="false" ht="15" hidden="false" customHeight="false" outlineLevel="0" collapsed="false">
      <c r="A4" s="44" t="n">
        <v>46270</v>
      </c>
      <c r="B4" s="46" t="n">
        <v>220</v>
      </c>
      <c r="C4" s="28" t="n">
        <f aca="false">IF($B4="","",$B4/2.2046)</f>
        <v>99.7913453687744</v>
      </c>
      <c r="D4" s="27"/>
      <c r="E4" s="60" t="n">
        <v>0.21</v>
      </c>
      <c r="F4" s="46"/>
      <c r="G4" s="61" t="n">
        <f aca="false">IF($B4="","",$B4-$B$4)</f>
        <v>0</v>
      </c>
      <c r="H4" s="12" t="s">
        <v>845</v>
      </c>
    </row>
    <row r="5" customFormat="false" ht="15" hidden="false" customHeight="false" outlineLevel="0" collapsed="false">
      <c r="A5" s="44" t="n">
        <v>46277</v>
      </c>
      <c r="B5" s="46"/>
      <c r="C5" s="28" t="str">
        <f aca="false">IF($B5="","",$B5/2.2046)</f>
        <v/>
      </c>
      <c r="D5" s="27"/>
      <c r="E5" s="60"/>
      <c r="F5" s="46"/>
      <c r="G5" s="61" t="str">
        <f aca="false">IF($B5="","",$B5-$B$4)</f>
        <v/>
      </c>
      <c r="H5" s="14"/>
    </row>
    <row r="6" customFormat="false" ht="15" hidden="false" customHeight="false" outlineLevel="0" collapsed="false">
      <c r="A6" s="44" t="n">
        <v>46284</v>
      </c>
      <c r="B6" s="46"/>
      <c r="C6" s="28" t="str">
        <f aca="false">IF($B6="","",$B6/2.2046)</f>
        <v/>
      </c>
      <c r="D6" s="27"/>
      <c r="E6" s="60"/>
      <c r="F6" s="46"/>
      <c r="G6" s="61" t="str">
        <f aca="false">IF($B6="","",$B6-$B$4)</f>
        <v/>
      </c>
      <c r="H6" s="14"/>
    </row>
    <row r="7" customFormat="false" ht="15" hidden="false" customHeight="false" outlineLevel="0" collapsed="false">
      <c r="A7" s="44" t="n">
        <v>46291</v>
      </c>
      <c r="B7" s="46"/>
      <c r="C7" s="28" t="str">
        <f aca="false">IF($B7="","",$B7/2.2046)</f>
        <v/>
      </c>
      <c r="D7" s="28" t="str">
        <f aca="false">IF(COUNT($B4:$B7)&lt;4,"",AVERAGE($B4:$B7))</f>
        <v/>
      </c>
      <c r="E7" s="60"/>
      <c r="F7" s="46"/>
      <c r="G7" s="61" t="str">
        <f aca="false">IF($B7="","",$B7-$B$4)</f>
        <v/>
      </c>
      <c r="H7" s="14"/>
    </row>
    <row r="8" customFormat="false" ht="15" hidden="false" customHeight="false" outlineLevel="0" collapsed="false">
      <c r="A8" s="44" t="n">
        <v>46298</v>
      </c>
      <c r="B8" s="46"/>
      <c r="C8" s="28" t="str">
        <f aca="false">IF($B8="","",$B8/2.2046)</f>
        <v/>
      </c>
      <c r="D8" s="28" t="str">
        <f aca="false">IF(COUNT($B5:$B8)&lt;4,"",AVERAGE($B5:$B8))</f>
        <v/>
      </c>
      <c r="E8" s="60"/>
      <c r="F8" s="46"/>
      <c r="G8" s="61" t="str">
        <f aca="false">IF($B8="","",$B8-$B$4)</f>
        <v/>
      </c>
      <c r="H8" s="14"/>
    </row>
    <row r="9" customFormat="false" ht="15" hidden="false" customHeight="false" outlineLevel="0" collapsed="false">
      <c r="A9" s="44" t="n">
        <v>46305</v>
      </c>
      <c r="B9" s="46"/>
      <c r="C9" s="28" t="str">
        <f aca="false">IF($B9="","",$B9/2.2046)</f>
        <v/>
      </c>
      <c r="D9" s="28" t="str">
        <f aca="false">IF(COUNT($B6:$B9)&lt;4,"",AVERAGE($B6:$B9))</f>
        <v/>
      </c>
      <c r="E9" s="60"/>
      <c r="F9" s="46"/>
      <c r="G9" s="61" t="str">
        <f aca="false">IF($B9="","",$B9-$B$4)</f>
        <v/>
      </c>
      <c r="H9" s="14"/>
    </row>
    <row r="10" customFormat="false" ht="15" hidden="false" customHeight="false" outlineLevel="0" collapsed="false">
      <c r="A10" s="44" t="n">
        <v>46312</v>
      </c>
      <c r="B10" s="46"/>
      <c r="C10" s="28" t="str">
        <f aca="false">IF($B10="","",$B10/2.2046)</f>
        <v/>
      </c>
      <c r="D10" s="28" t="str">
        <f aca="false">IF(COUNT($B7:$B10)&lt;4,"",AVERAGE($B7:$B10))</f>
        <v/>
      </c>
      <c r="E10" s="60"/>
      <c r="F10" s="46"/>
      <c r="G10" s="61" t="str">
        <f aca="false">IF($B10="","",$B10-$B$4)</f>
        <v/>
      </c>
      <c r="H10" s="14"/>
    </row>
    <row r="11" customFormat="false" ht="15" hidden="false" customHeight="false" outlineLevel="0" collapsed="false">
      <c r="A11" s="44" t="n">
        <v>46319</v>
      </c>
      <c r="B11" s="46"/>
      <c r="C11" s="28" t="str">
        <f aca="false">IF($B11="","",$B11/2.2046)</f>
        <v/>
      </c>
      <c r="D11" s="28" t="str">
        <f aca="false">IF(COUNT($B8:$B11)&lt;4,"",AVERAGE($B8:$B11))</f>
        <v/>
      </c>
      <c r="E11" s="60"/>
      <c r="F11" s="46"/>
      <c r="G11" s="61" t="str">
        <f aca="false">IF($B11="","",$B11-$B$4)</f>
        <v/>
      </c>
      <c r="H11" s="14"/>
    </row>
    <row r="12" customFormat="false" ht="15" hidden="false" customHeight="false" outlineLevel="0" collapsed="false">
      <c r="A12" s="44" t="n">
        <v>46326</v>
      </c>
      <c r="B12" s="46"/>
      <c r="C12" s="28" t="str">
        <f aca="false">IF($B12="","",$B12/2.2046)</f>
        <v/>
      </c>
      <c r="D12" s="28" t="str">
        <f aca="false">IF(COUNT($B9:$B12)&lt;4,"",AVERAGE($B9:$B12))</f>
        <v/>
      </c>
      <c r="E12" s="60"/>
      <c r="F12" s="46"/>
      <c r="G12" s="61" t="str">
        <f aca="false">IF($B12="","",$B12-$B$4)</f>
        <v/>
      </c>
      <c r="H12" s="14"/>
    </row>
    <row r="13" customFormat="false" ht="15" hidden="false" customHeight="false" outlineLevel="0" collapsed="false">
      <c r="A13" s="44" t="n">
        <v>46333</v>
      </c>
      <c r="B13" s="46"/>
      <c r="C13" s="28" t="str">
        <f aca="false">IF($B13="","",$B13/2.2046)</f>
        <v/>
      </c>
      <c r="D13" s="28" t="str">
        <f aca="false">IF(COUNT($B10:$B13)&lt;4,"",AVERAGE($B10:$B13))</f>
        <v/>
      </c>
      <c r="E13" s="60"/>
      <c r="F13" s="46"/>
      <c r="G13" s="61" t="str">
        <f aca="false">IF($B13="","",$B13-$B$4)</f>
        <v/>
      </c>
      <c r="H13" s="14"/>
    </row>
    <row r="14" customFormat="false" ht="15" hidden="false" customHeight="false" outlineLevel="0" collapsed="false">
      <c r="A14" s="44" t="n">
        <v>46340</v>
      </c>
      <c r="B14" s="46"/>
      <c r="C14" s="28" t="str">
        <f aca="false">IF($B14="","",$B14/2.2046)</f>
        <v/>
      </c>
      <c r="D14" s="28" t="str">
        <f aca="false">IF(COUNT($B11:$B14)&lt;4,"",AVERAGE($B11:$B14))</f>
        <v/>
      </c>
      <c r="E14" s="60"/>
      <c r="F14" s="46"/>
      <c r="G14" s="61" t="str">
        <f aca="false">IF($B14="","",$B14-$B$4)</f>
        <v/>
      </c>
      <c r="H14" s="14"/>
    </row>
    <row r="15" customFormat="false" ht="15" hidden="false" customHeight="false" outlineLevel="0" collapsed="false">
      <c r="A15" s="44" t="n">
        <v>46347</v>
      </c>
      <c r="B15" s="46"/>
      <c r="C15" s="28" t="str">
        <f aca="false">IF($B15="","",$B15/2.2046)</f>
        <v/>
      </c>
      <c r="D15" s="28" t="str">
        <f aca="false">IF(COUNT($B12:$B15)&lt;4,"",AVERAGE($B12:$B15))</f>
        <v/>
      </c>
      <c r="E15" s="60"/>
      <c r="F15" s="46"/>
      <c r="G15" s="61" t="str">
        <f aca="false">IF($B15="","",$B15-$B$4)</f>
        <v/>
      </c>
      <c r="H15" s="14"/>
    </row>
    <row r="16" customFormat="false" ht="15" hidden="false" customHeight="false" outlineLevel="0" collapsed="false">
      <c r="A16" s="44" t="n">
        <v>46354</v>
      </c>
      <c r="B16" s="46"/>
      <c r="C16" s="28" t="str">
        <f aca="false">IF($B16="","",$B16/2.2046)</f>
        <v/>
      </c>
      <c r="D16" s="28" t="str">
        <f aca="false">IF(COUNT($B13:$B16)&lt;4,"",AVERAGE($B13:$B16))</f>
        <v/>
      </c>
      <c r="E16" s="60"/>
      <c r="F16" s="46"/>
      <c r="G16" s="61" t="str">
        <f aca="false">IF($B16="","",$B16-$B$4)</f>
        <v/>
      </c>
      <c r="H16" s="14"/>
    </row>
    <row r="17" customFormat="false" ht="15" hidden="false" customHeight="false" outlineLevel="0" collapsed="false">
      <c r="A17" s="44" t="n">
        <v>46361</v>
      </c>
      <c r="B17" s="46"/>
      <c r="C17" s="28" t="str">
        <f aca="false">IF($B17="","",$B17/2.2046)</f>
        <v/>
      </c>
      <c r="D17" s="28" t="str">
        <f aca="false">IF(COUNT($B14:$B17)&lt;4,"",AVERAGE($B14:$B17))</f>
        <v/>
      </c>
      <c r="E17" s="60"/>
      <c r="F17" s="46"/>
      <c r="G17" s="61" t="str">
        <f aca="false">IF($B17="","",$B17-$B$4)</f>
        <v/>
      </c>
      <c r="H17" s="14"/>
    </row>
    <row r="18" customFormat="false" ht="15" hidden="false" customHeight="false" outlineLevel="0" collapsed="false">
      <c r="A18" s="44" t="n">
        <v>46368</v>
      </c>
      <c r="B18" s="46"/>
      <c r="C18" s="28" t="str">
        <f aca="false">IF($B18="","",$B18/2.2046)</f>
        <v/>
      </c>
      <c r="D18" s="28" t="str">
        <f aca="false">IF(COUNT($B15:$B18)&lt;4,"",AVERAGE($B15:$B18))</f>
        <v/>
      </c>
      <c r="E18" s="60"/>
      <c r="F18" s="46"/>
      <c r="G18" s="61" t="str">
        <f aca="false">IF($B18="","",$B18-$B$4)</f>
        <v/>
      </c>
      <c r="H18" s="14"/>
    </row>
    <row r="19" customFormat="false" ht="15" hidden="false" customHeight="false" outlineLevel="0" collapsed="false">
      <c r="A19" s="44" t="n">
        <v>46375</v>
      </c>
      <c r="B19" s="46"/>
      <c r="C19" s="28" t="str">
        <f aca="false">IF($B19="","",$B19/2.2046)</f>
        <v/>
      </c>
      <c r="D19" s="28" t="str">
        <f aca="false">IF(COUNT($B16:$B19)&lt;4,"",AVERAGE($B16:$B19))</f>
        <v/>
      </c>
      <c r="E19" s="60"/>
      <c r="F19" s="46"/>
      <c r="G19" s="61" t="str">
        <f aca="false">IF($B19="","",$B19-$B$4)</f>
        <v/>
      </c>
      <c r="H19" s="14"/>
    </row>
    <row r="20" customFormat="false" ht="15" hidden="false" customHeight="false" outlineLevel="0" collapsed="false">
      <c r="A20" s="44" t="n">
        <v>46382</v>
      </c>
      <c r="B20" s="46"/>
      <c r="C20" s="28" t="str">
        <f aca="false">IF($B20="","",$B20/2.2046)</f>
        <v/>
      </c>
      <c r="D20" s="28" t="str">
        <f aca="false">IF(COUNT($B17:$B20)&lt;4,"",AVERAGE($B17:$B20))</f>
        <v/>
      </c>
      <c r="E20" s="60"/>
      <c r="F20" s="46"/>
      <c r="G20" s="61" t="str">
        <f aca="false">IF($B20="","",$B20-$B$4)</f>
        <v/>
      </c>
      <c r="H20" s="14"/>
    </row>
    <row r="21" customFormat="false" ht="15" hidden="false" customHeight="false" outlineLevel="0" collapsed="false">
      <c r="A21" s="44" t="n">
        <v>46389</v>
      </c>
      <c r="B21" s="46"/>
      <c r="C21" s="28" t="str">
        <f aca="false">IF($B21="","",$B21/2.2046)</f>
        <v/>
      </c>
      <c r="D21" s="28" t="str">
        <f aca="false">IF(COUNT($B18:$B21)&lt;4,"",AVERAGE($B18:$B21))</f>
        <v/>
      </c>
      <c r="E21" s="60"/>
      <c r="F21" s="46"/>
      <c r="G21" s="61" t="str">
        <f aca="false">IF($B21="","",$B21-$B$4)</f>
        <v/>
      </c>
      <c r="H21" s="14"/>
    </row>
    <row r="22" customFormat="false" ht="15" hidden="false" customHeight="false" outlineLevel="0" collapsed="false">
      <c r="A22" s="44" t="n">
        <v>46396</v>
      </c>
      <c r="B22" s="46"/>
      <c r="C22" s="28" t="str">
        <f aca="false">IF($B22="","",$B22/2.2046)</f>
        <v/>
      </c>
      <c r="D22" s="28" t="str">
        <f aca="false">IF(COUNT($B19:$B22)&lt;4,"",AVERAGE($B19:$B22))</f>
        <v/>
      </c>
      <c r="E22" s="60"/>
      <c r="F22" s="46"/>
      <c r="G22" s="61" t="str">
        <f aca="false">IF($B22="","",$B22-$B$4)</f>
        <v/>
      </c>
      <c r="H22" s="14"/>
    </row>
    <row r="23" customFormat="false" ht="15" hidden="false" customHeight="false" outlineLevel="0" collapsed="false">
      <c r="A23" s="44" t="n">
        <v>46403</v>
      </c>
      <c r="B23" s="46"/>
      <c r="C23" s="28" t="str">
        <f aca="false">IF($B23="","",$B23/2.2046)</f>
        <v/>
      </c>
      <c r="D23" s="28" t="str">
        <f aca="false">IF(COUNT($B20:$B23)&lt;4,"",AVERAGE($B20:$B23))</f>
        <v/>
      </c>
      <c r="E23" s="60"/>
      <c r="F23" s="46"/>
      <c r="G23" s="61" t="str">
        <f aca="false">IF($B23="","",$B23-$B$4)</f>
        <v/>
      </c>
      <c r="H23" s="14"/>
    </row>
    <row r="24" customFormat="false" ht="15" hidden="false" customHeight="false" outlineLevel="0" collapsed="false">
      <c r="A24" s="44" t="n">
        <v>46410</v>
      </c>
      <c r="B24" s="46"/>
      <c r="C24" s="28" t="str">
        <f aca="false">IF($B24="","",$B24/2.2046)</f>
        <v/>
      </c>
      <c r="D24" s="28" t="str">
        <f aca="false">IF(COUNT($B21:$B24)&lt;4,"",AVERAGE($B21:$B24))</f>
        <v/>
      </c>
      <c r="E24" s="60"/>
      <c r="F24" s="46"/>
      <c r="G24" s="61" t="str">
        <f aca="false">IF($B24="","",$B24-$B$4)</f>
        <v/>
      </c>
      <c r="H24" s="14"/>
    </row>
    <row r="25" customFormat="false" ht="15" hidden="false" customHeight="false" outlineLevel="0" collapsed="false">
      <c r="A25" s="44" t="n">
        <v>46417</v>
      </c>
      <c r="B25" s="46"/>
      <c r="C25" s="28" t="str">
        <f aca="false">IF($B25="","",$B25/2.2046)</f>
        <v/>
      </c>
      <c r="D25" s="28" t="str">
        <f aca="false">IF(COUNT($B22:$B25)&lt;4,"",AVERAGE($B22:$B25))</f>
        <v/>
      </c>
      <c r="E25" s="60"/>
      <c r="F25" s="46"/>
      <c r="G25" s="61" t="str">
        <f aca="false">IF($B25="","",$B25-$B$4)</f>
        <v/>
      </c>
      <c r="H25" s="14"/>
    </row>
    <row r="26" customFormat="false" ht="15" hidden="false" customHeight="false" outlineLevel="0" collapsed="false">
      <c r="A26" s="44" t="n">
        <v>46424</v>
      </c>
      <c r="B26" s="46"/>
      <c r="C26" s="28" t="str">
        <f aca="false">IF($B26="","",$B26/2.2046)</f>
        <v/>
      </c>
      <c r="D26" s="28" t="str">
        <f aca="false">IF(COUNT($B23:$B26)&lt;4,"",AVERAGE($B23:$B26))</f>
        <v/>
      </c>
      <c r="E26" s="60"/>
      <c r="F26" s="46"/>
      <c r="G26" s="61" t="str">
        <f aca="false">IF($B26="","",$B26-$B$4)</f>
        <v/>
      </c>
      <c r="H26" s="14"/>
    </row>
    <row r="27" customFormat="false" ht="15" hidden="false" customHeight="false" outlineLevel="0" collapsed="false">
      <c r="A27" s="44" t="n">
        <v>46431</v>
      </c>
      <c r="B27" s="46"/>
      <c r="C27" s="28" t="str">
        <f aca="false">IF($B27="","",$B27/2.2046)</f>
        <v/>
      </c>
      <c r="D27" s="28" t="str">
        <f aca="false">IF(COUNT($B24:$B27)&lt;4,"",AVERAGE($B24:$B27))</f>
        <v/>
      </c>
      <c r="E27" s="60"/>
      <c r="F27" s="46"/>
      <c r="G27" s="61" t="str">
        <f aca="false">IF($B27="","",$B27-$B$4)</f>
        <v/>
      </c>
      <c r="H27" s="14"/>
    </row>
    <row r="28" customFormat="false" ht="15" hidden="false" customHeight="false" outlineLevel="0" collapsed="false">
      <c r="A28" s="44" t="n">
        <v>46438</v>
      </c>
      <c r="B28" s="46"/>
      <c r="C28" s="28" t="str">
        <f aca="false">IF($B28="","",$B28/2.2046)</f>
        <v/>
      </c>
      <c r="D28" s="28" t="str">
        <f aca="false">IF(COUNT($B25:$B28)&lt;4,"",AVERAGE($B25:$B28))</f>
        <v/>
      </c>
      <c r="E28" s="60"/>
      <c r="F28" s="46"/>
      <c r="G28" s="61" t="str">
        <f aca="false">IF($B28="","",$B28-$B$4)</f>
        <v/>
      </c>
      <c r="H28" s="14"/>
    </row>
    <row r="29" customFormat="false" ht="15" hidden="false" customHeight="false" outlineLevel="0" collapsed="false">
      <c r="A29" s="44" t="n">
        <v>46445</v>
      </c>
      <c r="B29" s="46"/>
      <c r="C29" s="28" t="str">
        <f aca="false">IF($B29="","",$B29/2.2046)</f>
        <v/>
      </c>
      <c r="D29" s="28" t="str">
        <f aca="false">IF(COUNT($B26:$B29)&lt;4,"",AVERAGE($B26:$B29))</f>
        <v/>
      </c>
      <c r="E29" s="60"/>
      <c r="F29" s="46"/>
      <c r="G29" s="61" t="str">
        <f aca="false">IF($B29="","",$B29-$B$4)</f>
        <v/>
      </c>
      <c r="H29" s="14"/>
    </row>
    <row r="32" customFormat="false" ht="15" hidden="false" customHeight="false" outlineLevel="0" collapsed="false">
      <c r="A32" s="15" t="s">
        <v>846</v>
      </c>
    </row>
    <row r="33" customFormat="false" ht="15" hidden="false" customHeight="false" outlineLevel="0" collapsed="false">
      <c r="A33" s="3" t="s">
        <v>847</v>
      </c>
      <c r="B33" s="54" t="s">
        <v>848</v>
      </c>
    </row>
    <row r="34" customFormat="false" ht="15" hidden="false" customHeight="false" outlineLevel="0" collapsed="false">
      <c r="A34" s="3" t="s">
        <v>849</v>
      </c>
      <c r="B34" s="54" t="s">
        <v>850</v>
      </c>
    </row>
    <row r="35" customFormat="false" ht="15" hidden="false" customHeight="false" outlineLevel="0" collapsed="false">
      <c r="A35" s="3" t="s">
        <v>851</v>
      </c>
      <c r="B35" s="54" t="s">
        <v>852</v>
      </c>
    </row>
    <row r="36" customFormat="false" ht="15" hidden="false" customHeight="false" outlineLevel="0" collapsed="false">
      <c r="A36" s="3" t="s">
        <v>853</v>
      </c>
      <c r="B36" s="54" t="s">
        <v>854</v>
      </c>
    </row>
    <row r="37" customFormat="false" ht="15" hidden="false" customHeight="false" outlineLevel="0" collapsed="false">
      <c r="A37" s="3" t="s">
        <v>855</v>
      </c>
      <c r="B37" s="54" t="s">
        <v>856</v>
      </c>
    </row>
    <row r="38" customFormat="false" ht="15" hidden="false" customHeight="false" outlineLevel="0" collapsed="false">
      <c r="A38" s="3" t="s">
        <v>857</v>
      </c>
      <c r="B38" s="54" t="s">
        <v>858</v>
      </c>
    </row>
    <row r="39" customFormat="false" ht="15" hidden="false" customHeight="false" outlineLevel="0" collapsed="false">
      <c r="A39" s="3" t="s">
        <v>859</v>
      </c>
      <c r="B39" s="54" t="s">
        <v>860</v>
      </c>
    </row>
    <row r="40" customFormat="false" ht="15" hidden="false" customHeight="false" outlineLevel="0" collapsed="false">
      <c r="A40" s="3" t="s">
        <v>861</v>
      </c>
      <c r="B40" s="54" t="s">
        <v>862</v>
      </c>
    </row>
    <row r="41" customFormat="false" ht="15" hidden="false" customHeight="false" outlineLevel="0" collapsed="false">
      <c r="A41" s="3" t="s">
        <v>863</v>
      </c>
      <c r="B41" s="54" t="s">
        <v>864</v>
      </c>
    </row>
    <row r="44" customFormat="false" ht="15" hidden="false" customHeight="false" outlineLevel="0" collapsed="false">
      <c r="A44" s="15" t="s">
        <v>865</v>
      </c>
    </row>
    <row r="45" customFormat="false" ht="42" hidden="false" customHeight="true" outlineLevel="0" collapsed="false">
      <c r="A45" s="16" t="s">
        <v>866</v>
      </c>
      <c r="B45" s="16"/>
      <c r="C45" s="16"/>
      <c r="D45" s="16"/>
      <c r="E45" s="16"/>
      <c r="F45" s="16"/>
      <c r="G45" s="16"/>
      <c r="H45" s="16"/>
    </row>
    <row r="46" customFormat="false" ht="30" hidden="false" customHeight="true" outlineLevel="0" collapsed="false">
      <c r="A46" s="9" t="s">
        <v>754</v>
      </c>
      <c r="B46" s="9" t="s">
        <v>867</v>
      </c>
      <c r="C46" s="9" t="s">
        <v>868</v>
      </c>
      <c r="D46" s="9" t="s">
        <v>869</v>
      </c>
      <c r="E46" s="9" t="s">
        <v>870</v>
      </c>
      <c r="F46" s="9" t="s">
        <v>871</v>
      </c>
      <c r="G46" s="9" t="s">
        <v>872</v>
      </c>
      <c r="H46" s="9" t="s">
        <v>873</v>
      </c>
    </row>
    <row r="47" customFormat="false" ht="15" hidden="false" customHeight="false" outlineLevel="0" collapsed="false">
      <c r="A47" s="62"/>
      <c r="B47" s="39"/>
      <c r="C47" s="39"/>
      <c r="D47" s="39"/>
      <c r="E47" s="39"/>
      <c r="F47" s="39"/>
      <c r="G47" s="39"/>
      <c r="H47" s="49" t="s">
        <v>874</v>
      </c>
    </row>
    <row r="48" customFormat="false" ht="15" hidden="false" customHeight="false" outlineLevel="0" collapsed="false">
      <c r="A48" s="62"/>
      <c r="B48" s="39"/>
      <c r="C48" s="39"/>
      <c r="D48" s="39"/>
      <c r="E48" s="39"/>
      <c r="F48" s="39"/>
      <c r="G48" s="39"/>
      <c r="H48" s="12" t="s">
        <v>875</v>
      </c>
    </row>
    <row r="49" customFormat="false" ht="15" hidden="false" customHeight="false" outlineLevel="0" collapsed="false">
      <c r="A49" s="62"/>
      <c r="B49" s="39"/>
      <c r="C49" s="39"/>
      <c r="D49" s="39"/>
      <c r="E49" s="39"/>
      <c r="F49" s="39"/>
      <c r="G49" s="39"/>
      <c r="H49" s="12" t="s">
        <v>876</v>
      </c>
    </row>
    <row r="50" customFormat="false" ht="15" hidden="false" customHeight="false" outlineLevel="0" collapsed="false">
      <c r="A50" s="62"/>
      <c r="B50" s="39"/>
      <c r="C50" s="39"/>
      <c r="D50" s="39"/>
      <c r="E50" s="39"/>
      <c r="F50" s="39"/>
      <c r="G50" s="39"/>
      <c r="H50" s="14"/>
    </row>
    <row r="51" customFormat="false" ht="15" hidden="false" customHeight="false" outlineLevel="0" collapsed="false">
      <c r="A51" s="62"/>
      <c r="B51" s="39"/>
      <c r="C51" s="39"/>
      <c r="D51" s="39"/>
      <c r="E51" s="39"/>
      <c r="F51" s="39"/>
      <c r="G51" s="39"/>
      <c r="H51" s="14"/>
    </row>
    <row r="52" customFormat="false" ht="15" hidden="false" customHeight="false" outlineLevel="0" collapsed="false">
      <c r="A52" s="62"/>
      <c r="B52" s="39"/>
      <c r="C52" s="39"/>
      <c r="D52" s="39"/>
      <c r="E52" s="39"/>
      <c r="F52" s="39"/>
      <c r="G52" s="39"/>
      <c r="H52" s="14"/>
    </row>
    <row r="54" customFormat="false" ht="30" hidden="false" customHeight="true" outlineLevel="0" collapsed="false">
      <c r="A54" s="37" t="s">
        <v>877</v>
      </c>
      <c r="B54" s="37"/>
      <c r="C54" s="37"/>
      <c r="D54" s="37"/>
      <c r="E54" s="37"/>
      <c r="F54" s="37"/>
      <c r="G54" s="37"/>
      <c r="H54" s="37"/>
    </row>
    <row r="56" customFormat="false" ht="30" hidden="false" customHeight="true" outlineLevel="0" collapsed="false">
      <c r="A56" s="16" t="s">
        <v>878</v>
      </c>
      <c r="B56" s="16"/>
      <c r="C56" s="16"/>
      <c r="D56" s="16"/>
      <c r="E56" s="16"/>
      <c r="F56" s="16"/>
      <c r="G56" s="16"/>
      <c r="H56" s="16"/>
    </row>
  </sheetData>
  <mergeCells count="3">
    <mergeCell ref="A45:H45"/>
    <mergeCell ref="A54:H54"/>
    <mergeCell ref="A56:H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2026-09-03T04:07:32Z</dcterms:created>
  <dc:creator>openpyxl</dc:creator>
  <dc:description/>
  <dc:language>en-US</dc:language>
  <cp:lastModifiedBy/>
  <dcterms:modified xsi:type="dcterms:W3CDTF">2026-09-03T04:07:33Z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